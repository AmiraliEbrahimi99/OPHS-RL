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H:\Engineering - Master\Thesis\Paper\Data\"/>
    </mc:Choice>
  </mc:AlternateContent>
  <xr:revisionPtr revIDLastSave="0" documentId="13_ncr:1_{0A250BA0-B89D-41BE-AF60-FB09E3D4B351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ummary" sheetId="5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417" i="5" l="1" a="1"/>
  <c r="G417" i="5" s="1"/>
  <c r="H417" i="5" a="1"/>
  <c r="H417" i="5" s="1"/>
  <c r="K417" i="5" a="1"/>
  <c r="K417" i="5" s="1"/>
  <c r="L417" i="5" a="1"/>
  <c r="L417" i="5" s="1"/>
  <c r="G418" i="5" a="1"/>
  <c r="G418" i="5" s="1"/>
  <c r="H418" i="5" a="1"/>
  <c r="H418" i="5" s="1"/>
  <c r="K418" i="5" a="1"/>
  <c r="K418" i="5" s="1"/>
  <c r="L418" i="5" a="1"/>
  <c r="L418" i="5"/>
  <c r="G419" i="5" a="1"/>
  <c r="G419" i="5" s="1"/>
  <c r="H419" i="5" a="1"/>
  <c r="H419" i="5" s="1"/>
  <c r="K419" i="5" a="1"/>
  <c r="K419" i="5" s="1"/>
  <c r="L419" i="5" a="1"/>
  <c r="L419" i="5"/>
  <c r="G420" i="5" a="1"/>
  <c r="G420" i="5" s="1"/>
  <c r="H420" i="5" a="1"/>
  <c r="H420" i="5" s="1"/>
  <c r="K420" i="5" a="1"/>
  <c r="K420" i="5" s="1"/>
  <c r="L420" i="5" a="1"/>
  <c r="L420" i="5" s="1"/>
  <c r="G421" i="5" a="1"/>
  <c r="G421" i="5" s="1"/>
  <c r="H421" i="5" a="1"/>
  <c r="H421" i="5" s="1"/>
  <c r="K421" i="5" a="1"/>
  <c r="K421" i="5" s="1"/>
  <c r="L421" i="5" a="1"/>
  <c r="L421" i="5" s="1"/>
  <c r="G422" i="5" a="1"/>
  <c r="G422" i="5" s="1"/>
  <c r="H422" i="5" a="1"/>
  <c r="H422" i="5"/>
  <c r="K422" i="5" a="1"/>
  <c r="K422" i="5" s="1"/>
  <c r="L422" i="5" a="1"/>
  <c r="L422" i="5"/>
  <c r="D422" i="5" a="1"/>
  <c r="D422" i="5" s="1"/>
  <c r="D421" i="5" a="1"/>
  <c r="D421" i="5" s="1"/>
  <c r="D420" i="5" a="1"/>
  <c r="D420" i="5" s="1"/>
  <c r="D419" i="5" a="1"/>
  <c r="D419" i="5" s="1"/>
  <c r="D417" i="5" a="1"/>
  <c r="D417" i="5" s="1"/>
  <c r="C417" i="5" a="1"/>
  <c r="C417" i="5" s="1"/>
  <c r="C422" i="5" a="1"/>
  <c r="C422" i="5" s="1"/>
  <c r="C421" i="5" a="1"/>
  <c r="C421" i="5" s="1"/>
  <c r="C420" i="5" a="1"/>
  <c r="C420" i="5" s="1"/>
  <c r="C419" i="5" a="1"/>
  <c r="C419" i="5" s="1"/>
  <c r="D418" i="5" a="1"/>
  <c r="D418" i="5" s="1"/>
  <c r="C418" i="5" a="1"/>
  <c r="C418" i="5" s="1"/>
  <c r="F422" i="5"/>
  <c r="E422" i="5"/>
  <c r="F421" i="5"/>
  <c r="E421" i="5"/>
  <c r="F420" i="5"/>
  <c r="E420" i="5"/>
  <c r="F419" i="5"/>
  <c r="E419" i="5"/>
  <c r="F418" i="5"/>
  <c r="E418" i="5"/>
  <c r="F417" i="5"/>
  <c r="E417" i="5"/>
  <c r="I418" i="5"/>
  <c r="J418" i="5"/>
  <c r="M418" i="5"/>
  <c r="N418" i="5"/>
  <c r="I419" i="5"/>
  <c r="J419" i="5"/>
  <c r="M419" i="5"/>
  <c r="N419" i="5"/>
  <c r="I420" i="5"/>
  <c r="J420" i="5"/>
  <c r="M420" i="5"/>
  <c r="N420" i="5"/>
  <c r="I421" i="5"/>
  <c r="J421" i="5"/>
  <c r="M421" i="5"/>
  <c r="N421" i="5"/>
  <c r="I422" i="5"/>
  <c r="J422" i="5"/>
  <c r="M422" i="5"/>
  <c r="N422" i="5"/>
  <c r="M417" i="5"/>
  <c r="N417" i="5"/>
  <c r="I417" i="5"/>
  <c r="J417" i="5"/>
  <c r="H410" i="5"/>
  <c r="G410" i="5"/>
  <c r="G410" i="5" a="1"/>
  <c r="F410" i="5"/>
  <c r="E410" i="5" a="1"/>
  <c r="E410" i="5" s="1"/>
  <c r="D410" i="5"/>
  <c r="C410" i="5" a="1"/>
  <c r="C410" i="5" s="1"/>
  <c r="H409" i="5"/>
  <c r="G409" i="5" a="1"/>
  <c r="G409" i="5" s="1"/>
  <c r="F409" i="5"/>
  <c r="E409" i="5" a="1"/>
  <c r="E409" i="5" s="1"/>
  <c r="D409" i="5"/>
  <c r="C409" i="5" a="1"/>
  <c r="C409" i="5" s="1"/>
  <c r="H408" i="5"/>
  <c r="G408" i="5" a="1"/>
  <c r="G408" i="5" s="1"/>
  <c r="F408" i="5"/>
  <c r="E408" i="5" a="1"/>
  <c r="E408" i="5" s="1"/>
  <c r="D408" i="5"/>
  <c r="C408" i="5" a="1"/>
  <c r="C408" i="5" s="1"/>
  <c r="H407" i="5"/>
  <c r="G407" i="5" a="1"/>
  <c r="G407" i="5" s="1"/>
  <c r="F407" i="5"/>
  <c r="E407" i="5" a="1"/>
  <c r="E407" i="5" s="1"/>
  <c r="D407" i="5"/>
  <c r="C407" i="5" a="1"/>
  <c r="C407" i="5" s="1"/>
  <c r="H406" i="5"/>
  <c r="G406" i="5" a="1"/>
  <c r="G406" i="5" s="1"/>
  <c r="F406" i="5"/>
  <c r="E406" i="5" a="1"/>
  <c r="E406" i="5" s="1"/>
  <c r="D406" i="5"/>
  <c r="C406" i="5" a="1"/>
  <c r="C406" i="5" s="1"/>
  <c r="H405" i="5"/>
  <c r="G405" i="5" a="1"/>
  <c r="G405" i="5" s="1"/>
  <c r="F405" i="5"/>
  <c r="F411" i="5" s="1"/>
  <c r="E405" i="5"/>
  <c r="E405" i="5" a="1"/>
  <c r="D405" i="5"/>
  <c r="C405" i="5" a="1"/>
  <c r="C405" i="5" s="1"/>
  <c r="H411" i="5" l="1"/>
  <c r="D411" i="5"/>
  <c r="G411" i="5"/>
  <c r="C411" i="5"/>
  <c r="E411" i="5"/>
  <c r="P399" i="5"/>
  <c r="N399" i="5"/>
  <c r="L399" i="5"/>
  <c r="H399" i="5"/>
  <c r="F399" i="5"/>
  <c r="D399" i="5"/>
  <c r="I398" i="5"/>
  <c r="I397" i="5"/>
  <c r="I396" i="5"/>
  <c r="I395" i="5"/>
  <c r="I394" i="5"/>
  <c r="I393" i="5"/>
  <c r="I392" i="5"/>
  <c r="I391" i="5"/>
  <c r="I390" i="5"/>
  <c r="I389" i="5"/>
  <c r="I388" i="5"/>
  <c r="I387" i="5"/>
  <c r="I386" i="5"/>
  <c r="I385" i="5"/>
  <c r="I384" i="5"/>
  <c r="I383" i="5"/>
  <c r="I382" i="5"/>
  <c r="I381" i="5"/>
  <c r="I380" i="5"/>
  <c r="I379" i="5"/>
  <c r="I378" i="5"/>
  <c r="I377" i="5"/>
  <c r="I376" i="5"/>
  <c r="I375" i="5"/>
  <c r="I374" i="5"/>
  <c r="I373" i="5"/>
  <c r="I372" i="5"/>
  <c r="I371" i="5"/>
  <c r="I370" i="5"/>
  <c r="I369" i="5"/>
  <c r="I368" i="5"/>
  <c r="I367" i="5"/>
  <c r="I366" i="5"/>
  <c r="I365" i="5"/>
  <c r="I364" i="5"/>
  <c r="I363" i="5"/>
  <c r="I362" i="5"/>
  <c r="I361" i="5"/>
  <c r="I360" i="5"/>
  <c r="I359" i="5"/>
  <c r="I358" i="5"/>
  <c r="I357" i="5"/>
  <c r="I356" i="5"/>
  <c r="I355" i="5"/>
  <c r="I354" i="5"/>
  <c r="I353" i="5"/>
  <c r="I352" i="5"/>
  <c r="I351" i="5"/>
  <c r="I350" i="5"/>
  <c r="I349" i="5"/>
  <c r="I348" i="5"/>
  <c r="I347" i="5"/>
  <c r="I346" i="5"/>
  <c r="I345" i="5"/>
  <c r="I344" i="5"/>
  <c r="I343" i="5"/>
  <c r="I342" i="5"/>
  <c r="I341" i="5"/>
  <c r="I340" i="5"/>
  <c r="I339" i="5"/>
  <c r="I338" i="5"/>
  <c r="I337" i="5"/>
  <c r="I336" i="5"/>
  <c r="I335" i="5"/>
  <c r="I334" i="5"/>
  <c r="I333" i="5"/>
  <c r="I332" i="5"/>
  <c r="I331" i="5"/>
  <c r="I330" i="5"/>
  <c r="I329" i="5"/>
  <c r="I328" i="5"/>
  <c r="I327" i="5"/>
  <c r="I326" i="5"/>
  <c r="I325" i="5"/>
  <c r="I324" i="5"/>
  <c r="I323" i="5"/>
  <c r="I322" i="5"/>
  <c r="I321" i="5"/>
  <c r="I320" i="5"/>
  <c r="I319" i="5"/>
  <c r="I318" i="5"/>
  <c r="I317" i="5"/>
  <c r="I316" i="5"/>
  <c r="I315" i="5"/>
  <c r="I314" i="5"/>
  <c r="I313" i="5"/>
  <c r="I312" i="5"/>
  <c r="I311" i="5"/>
  <c r="I310" i="5"/>
  <c r="I309" i="5"/>
  <c r="I308" i="5"/>
  <c r="I307" i="5"/>
  <c r="I306" i="5"/>
  <c r="I305" i="5"/>
  <c r="I304" i="5"/>
  <c r="I303" i="5"/>
  <c r="I302" i="5"/>
  <c r="I301" i="5"/>
  <c r="I300" i="5"/>
  <c r="I299" i="5"/>
  <c r="I298" i="5"/>
  <c r="I297" i="5"/>
  <c r="I296" i="5"/>
  <c r="I295" i="5"/>
  <c r="I294" i="5"/>
  <c r="I293" i="5"/>
  <c r="I292" i="5"/>
  <c r="I291" i="5"/>
  <c r="I290" i="5"/>
  <c r="I289" i="5"/>
  <c r="I288" i="5"/>
  <c r="I287" i="5"/>
  <c r="I286" i="5"/>
  <c r="I285" i="5"/>
  <c r="I284" i="5"/>
  <c r="I283" i="5"/>
  <c r="I282" i="5"/>
  <c r="I281" i="5"/>
  <c r="I280" i="5"/>
  <c r="I279" i="5"/>
  <c r="I278" i="5"/>
  <c r="I277" i="5"/>
  <c r="I276" i="5"/>
  <c r="I275" i="5"/>
  <c r="I274" i="5"/>
  <c r="I273" i="5"/>
  <c r="I272" i="5"/>
  <c r="I271" i="5"/>
  <c r="I270" i="5"/>
  <c r="I269" i="5"/>
  <c r="I268" i="5"/>
  <c r="I267" i="5"/>
  <c r="I266" i="5"/>
  <c r="I265" i="5"/>
  <c r="I264" i="5"/>
  <c r="I263" i="5"/>
  <c r="I262" i="5"/>
  <c r="I261" i="5"/>
  <c r="I260" i="5"/>
  <c r="I259" i="5"/>
  <c r="I258" i="5"/>
  <c r="I257" i="5"/>
  <c r="I256" i="5"/>
  <c r="I255" i="5"/>
  <c r="I254" i="5"/>
  <c r="I253" i="5"/>
  <c r="I252" i="5"/>
  <c r="I251" i="5"/>
  <c r="I250" i="5"/>
  <c r="I249" i="5"/>
  <c r="I248" i="5"/>
  <c r="I247" i="5"/>
  <c r="I246" i="5"/>
  <c r="I245" i="5"/>
  <c r="I244" i="5"/>
  <c r="I243" i="5"/>
  <c r="I242" i="5"/>
  <c r="I241" i="5"/>
  <c r="I240" i="5"/>
  <c r="I239" i="5"/>
  <c r="I238" i="5"/>
  <c r="I237" i="5"/>
  <c r="I236" i="5"/>
  <c r="I235" i="5"/>
  <c r="I234" i="5"/>
  <c r="I233" i="5"/>
  <c r="I232" i="5"/>
  <c r="I231" i="5"/>
  <c r="I230" i="5"/>
  <c r="I229" i="5"/>
  <c r="I228" i="5"/>
  <c r="I227" i="5"/>
  <c r="I226" i="5"/>
  <c r="I225" i="5"/>
  <c r="I224" i="5"/>
  <c r="I223" i="5"/>
  <c r="I222" i="5"/>
  <c r="I221" i="5"/>
  <c r="I220" i="5"/>
  <c r="I219" i="5"/>
  <c r="I218" i="5"/>
  <c r="I217" i="5"/>
  <c r="I216" i="5"/>
  <c r="I215" i="5"/>
  <c r="I214" i="5"/>
  <c r="I213" i="5"/>
  <c r="I212" i="5"/>
  <c r="I211" i="5"/>
  <c r="I210" i="5"/>
  <c r="I209" i="5"/>
  <c r="I208" i="5"/>
  <c r="I207" i="5"/>
  <c r="I206" i="5"/>
  <c r="I205" i="5"/>
  <c r="I204" i="5"/>
  <c r="I203" i="5"/>
  <c r="I202" i="5"/>
  <c r="I201" i="5"/>
  <c r="I200" i="5"/>
  <c r="I199" i="5"/>
  <c r="I198" i="5"/>
  <c r="I197" i="5"/>
  <c r="I196" i="5"/>
  <c r="I195" i="5"/>
  <c r="I194" i="5"/>
  <c r="I193" i="5"/>
  <c r="I192" i="5"/>
  <c r="I191" i="5"/>
  <c r="I190" i="5"/>
  <c r="I189" i="5"/>
  <c r="I188" i="5"/>
  <c r="I187" i="5"/>
  <c r="I186" i="5"/>
  <c r="I185" i="5"/>
  <c r="I184" i="5"/>
  <c r="I183" i="5"/>
  <c r="I182" i="5"/>
  <c r="I181" i="5"/>
  <c r="I180" i="5"/>
  <c r="I179" i="5"/>
  <c r="I178" i="5"/>
  <c r="I177" i="5"/>
  <c r="I176" i="5"/>
  <c r="I175" i="5"/>
  <c r="I174" i="5"/>
  <c r="I173" i="5"/>
  <c r="I172" i="5"/>
  <c r="I171" i="5"/>
  <c r="I170" i="5"/>
  <c r="I169" i="5"/>
  <c r="I168" i="5"/>
  <c r="I167" i="5"/>
  <c r="I166" i="5"/>
  <c r="I165" i="5"/>
  <c r="I164" i="5"/>
  <c r="I163" i="5"/>
  <c r="I162" i="5"/>
  <c r="I161" i="5"/>
  <c r="I160" i="5"/>
  <c r="I159" i="5"/>
  <c r="I158" i="5"/>
  <c r="I157" i="5"/>
  <c r="I156" i="5"/>
  <c r="I155" i="5"/>
  <c r="I154" i="5"/>
  <c r="I153" i="5"/>
  <c r="I152" i="5"/>
  <c r="I151" i="5"/>
  <c r="I150" i="5"/>
  <c r="I149" i="5"/>
  <c r="I148" i="5"/>
  <c r="I147" i="5"/>
  <c r="I146" i="5"/>
  <c r="I145" i="5"/>
  <c r="I144" i="5"/>
  <c r="I143" i="5"/>
  <c r="I142" i="5"/>
  <c r="I141" i="5"/>
  <c r="I140" i="5"/>
  <c r="I139" i="5"/>
  <c r="I138" i="5"/>
  <c r="I137" i="5"/>
  <c r="I136" i="5"/>
  <c r="I135" i="5"/>
  <c r="I134" i="5"/>
  <c r="I133" i="5"/>
  <c r="I132" i="5"/>
  <c r="I131" i="5"/>
  <c r="I130" i="5"/>
  <c r="I129" i="5"/>
  <c r="I128" i="5"/>
  <c r="I127" i="5"/>
  <c r="I126" i="5"/>
  <c r="I125" i="5"/>
  <c r="I124" i="5"/>
  <c r="I123" i="5"/>
  <c r="I122" i="5"/>
  <c r="I121" i="5"/>
  <c r="I120" i="5"/>
  <c r="I119" i="5"/>
  <c r="I118" i="5"/>
  <c r="I117" i="5"/>
  <c r="I116" i="5"/>
  <c r="I115" i="5"/>
  <c r="I114" i="5"/>
  <c r="I113" i="5"/>
  <c r="I112" i="5"/>
  <c r="I111" i="5"/>
  <c r="I110" i="5"/>
  <c r="I109" i="5"/>
  <c r="I108" i="5"/>
  <c r="I107" i="5"/>
  <c r="I106" i="5"/>
  <c r="I105" i="5"/>
  <c r="I104" i="5"/>
  <c r="I103" i="5"/>
  <c r="I102" i="5"/>
  <c r="I101" i="5"/>
  <c r="I100" i="5"/>
  <c r="I99" i="5"/>
  <c r="I98" i="5"/>
  <c r="I97" i="5"/>
  <c r="I96" i="5"/>
  <c r="I95" i="5"/>
  <c r="I94" i="5"/>
  <c r="I93" i="5"/>
  <c r="I92" i="5"/>
  <c r="I91" i="5"/>
  <c r="I90" i="5"/>
  <c r="I89" i="5"/>
  <c r="I88" i="5"/>
  <c r="I87" i="5"/>
  <c r="I86" i="5"/>
  <c r="I85" i="5"/>
  <c r="I84" i="5"/>
  <c r="I83" i="5"/>
  <c r="I82" i="5"/>
  <c r="I81" i="5"/>
  <c r="I80" i="5"/>
  <c r="I79" i="5"/>
  <c r="I78" i="5"/>
  <c r="I77" i="5"/>
  <c r="I76" i="5"/>
  <c r="I75" i="5"/>
  <c r="I74" i="5"/>
  <c r="I73" i="5"/>
  <c r="I72" i="5"/>
  <c r="I71" i="5"/>
  <c r="I70" i="5"/>
  <c r="I69" i="5"/>
  <c r="I68" i="5"/>
  <c r="I67" i="5"/>
  <c r="I66" i="5"/>
  <c r="I65" i="5"/>
  <c r="I64" i="5"/>
  <c r="I63" i="5"/>
  <c r="I62" i="5"/>
  <c r="I61" i="5"/>
  <c r="I60" i="5"/>
  <c r="I59" i="5"/>
  <c r="I58" i="5"/>
  <c r="I57" i="5"/>
  <c r="I56" i="5"/>
  <c r="I55" i="5"/>
  <c r="I54" i="5"/>
  <c r="I53" i="5"/>
  <c r="I52" i="5"/>
  <c r="I51" i="5"/>
  <c r="I50" i="5"/>
  <c r="I49" i="5"/>
  <c r="I48" i="5"/>
  <c r="I47" i="5"/>
  <c r="I46" i="5"/>
  <c r="I45" i="5"/>
  <c r="I44" i="5"/>
  <c r="I43" i="5"/>
  <c r="I42" i="5"/>
  <c r="I41" i="5"/>
  <c r="I40" i="5"/>
  <c r="I39" i="5"/>
  <c r="I38" i="5"/>
  <c r="I37" i="5"/>
  <c r="I36" i="5"/>
  <c r="I35" i="5"/>
  <c r="I34" i="5"/>
  <c r="I33" i="5"/>
  <c r="I32" i="5"/>
  <c r="I31" i="5"/>
  <c r="I30" i="5"/>
  <c r="I29" i="5"/>
  <c r="I28" i="5"/>
  <c r="I27" i="5"/>
  <c r="I26" i="5"/>
  <c r="I25" i="5"/>
  <c r="I24" i="5"/>
  <c r="I23" i="5"/>
  <c r="I22" i="5"/>
  <c r="I21" i="5"/>
  <c r="I20" i="5"/>
  <c r="I19" i="5"/>
  <c r="I18" i="5"/>
  <c r="I17" i="5"/>
  <c r="I16" i="5"/>
  <c r="I15" i="5"/>
  <c r="I14" i="5"/>
  <c r="I13" i="5"/>
  <c r="I12" i="5"/>
  <c r="I11" i="5"/>
  <c r="I10" i="5"/>
  <c r="I9" i="5"/>
  <c r="I8" i="5"/>
  <c r="I7" i="5"/>
  <c r="I6" i="5"/>
  <c r="I5" i="5"/>
  <c r="I4" i="5"/>
  <c r="I399" i="5" l="1"/>
</calcChain>
</file>

<file path=xl/sharedStrings.xml><?xml version="1.0" encoding="utf-8"?>
<sst xmlns="http://schemas.openxmlformats.org/spreadsheetml/2006/main" count="452" uniqueCount="418">
  <si>
    <t>Instance</t>
  </si>
  <si>
    <t>GAP (%)</t>
  </si>
  <si>
    <t>Runtime</t>
  </si>
  <si>
    <t>model trained  32-5-4</t>
  </si>
  <si>
    <t>model trained 64-10-5</t>
  </si>
  <si>
    <t>32-65-1-2</t>
  </si>
  <si>
    <t>32-65-2-3</t>
  </si>
  <si>
    <t>32-65-3-4</t>
  </si>
  <si>
    <t>32-65-5-3</t>
  </si>
  <si>
    <t>32-65-6-4</t>
  </si>
  <si>
    <t>32-70-1-2</t>
  </si>
  <si>
    <t>32-70-2-3</t>
  </si>
  <si>
    <t>32-70-3-4</t>
  </si>
  <si>
    <t>32-70-5-3</t>
  </si>
  <si>
    <t>32-70-6-4</t>
  </si>
  <si>
    <t>32-73-1-2</t>
  </si>
  <si>
    <t>32-73-2-3</t>
  </si>
  <si>
    <t>32-73-3-4</t>
  </si>
  <si>
    <t>32-73-5-3</t>
  </si>
  <si>
    <t>32-73-6-4</t>
  </si>
  <si>
    <t>32-75-1-2</t>
  </si>
  <si>
    <t>32-75-2-3</t>
  </si>
  <si>
    <t>32-75-3-4</t>
  </si>
  <si>
    <t>32-75-5-3</t>
  </si>
  <si>
    <t>32-75-6-4</t>
  </si>
  <si>
    <t>32-80-1-2</t>
  </si>
  <si>
    <t>32-80-2-3</t>
  </si>
  <si>
    <t>32-80-3-4</t>
  </si>
  <si>
    <t>32-80-5-3</t>
  </si>
  <si>
    <t>32-80-6-4</t>
  </si>
  <si>
    <t>32-85-1-2</t>
  </si>
  <si>
    <t>32-85-2-3</t>
  </si>
  <si>
    <t>32-85-3-4</t>
  </si>
  <si>
    <t>32-85-5-3</t>
  </si>
  <si>
    <t>32-85-6-4</t>
  </si>
  <si>
    <t>33-65-1-2</t>
  </si>
  <si>
    <t>33-65-2-3</t>
  </si>
  <si>
    <t>33-65-3-4</t>
  </si>
  <si>
    <t>33-65-5-3</t>
  </si>
  <si>
    <t>33-65-6-4</t>
  </si>
  <si>
    <t>33-75-1-2</t>
  </si>
  <si>
    <t>33-75-2-3</t>
  </si>
  <si>
    <t>33-75-3-4</t>
  </si>
  <si>
    <t>33-75-5-3</t>
  </si>
  <si>
    <t>33-75-6-4</t>
  </si>
  <si>
    <t>33-80-1-2</t>
  </si>
  <si>
    <t>33-80-2-3</t>
  </si>
  <si>
    <t>33-80-3-4</t>
  </si>
  <si>
    <t>33-80-5-3</t>
  </si>
  <si>
    <t>33-80-6-4</t>
  </si>
  <si>
    <t>33-85-1-2</t>
  </si>
  <si>
    <t>33-85-2-3</t>
  </si>
  <si>
    <t>33-85-3-4</t>
  </si>
  <si>
    <t>33-85-5-3</t>
  </si>
  <si>
    <t>33-85-6-4</t>
  </si>
  <si>
    <t>33-90-1-2</t>
  </si>
  <si>
    <t>33-90-2-3</t>
  </si>
  <si>
    <t>33-90-3-4</t>
  </si>
  <si>
    <t>33-90-5-3</t>
  </si>
  <si>
    <t>33-90-6-4</t>
  </si>
  <si>
    <t>33-95-1-2</t>
  </si>
  <si>
    <t>33-95-2-3</t>
  </si>
  <si>
    <t>33-95-3-4</t>
  </si>
  <si>
    <t>33-95-5-3</t>
  </si>
  <si>
    <t>33-95-6-4</t>
  </si>
  <si>
    <t>33-100-1-2</t>
  </si>
  <si>
    <t>33-100-2-3</t>
  </si>
  <si>
    <t>33-100-3-4</t>
  </si>
  <si>
    <t>33-100-5-3</t>
  </si>
  <si>
    <t>33-100-6-4</t>
  </si>
  <si>
    <t>33-105-1-2</t>
  </si>
  <si>
    <t>33-105-2-3</t>
  </si>
  <si>
    <t>33-105-3-4</t>
  </si>
  <si>
    <t>33-105-5-3</t>
  </si>
  <si>
    <t>33-105-6-4</t>
  </si>
  <si>
    <t>64-45-1-2</t>
  </si>
  <si>
    <t>64-45-2-3</t>
  </si>
  <si>
    <t>64-45-3-4</t>
  </si>
  <si>
    <t>64-45-5-3</t>
  </si>
  <si>
    <t>64-45-6-4</t>
  </si>
  <si>
    <t>64-50-1-2</t>
  </si>
  <si>
    <t>64-50-2-3</t>
  </si>
  <si>
    <t>64-50-3-4</t>
  </si>
  <si>
    <t>64-50-5-3</t>
  </si>
  <si>
    <t>64-50-6-4</t>
  </si>
  <si>
    <t>64-55-1-2</t>
  </si>
  <si>
    <t>64-55-2-3</t>
  </si>
  <si>
    <t>64-55-3-4</t>
  </si>
  <si>
    <t>64-55-5-3</t>
  </si>
  <si>
    <t>64-55-6-4</t>
  </si>
  <si>
    <t>64-60-1-2</t>
  </si>
  <si>
    <t>64-60-2-3</t>
  </si>
  <si>
    <t>64-60-3-4</t>
  </si>
  <si>
    <t>64-60-5-3</t>
  </si>
  <si>
    <t>64-60-6-4</t>
  </si>
  <si>
    <t>64-65-1-2</t>
  </si>
  <si>
    <t>64-65-2-3</t>
  </si>
  <si>
    <t>64-65-3-4</t>
  </si>
  <si>
    <t>64-65-5-3</t>
  </si>
  <si>
    <t>64-65-6-4</t>
  </si>
  <si>
    <t>64-70-1-2</t>
  </si>
  <si>
    <t>64-70-2-3</t>
  </si>
  <si>
    <t>64-70-3-4</t>
  </si>
  <si>
    <t>64-70-5-3</t>
  </si>
  <si>
    <t>64-70-6-4</t>
  </si>
  <si>
    <t>64-75-1-2</t>
  </si>
  <si>
    <t>64-75-2-3</t>
  </si>
  <si>
    <t>64-75-3-4</t>
  </si>
  <si>
    <t>64-75-5-3</t>
  </si>
  <si>
    <t>64-75-6-4</t>
  </si>
  <si>
    <t>64-75-10-4</t>
  </si>
  <si>
    <t>64-75-10-5</t>
  </si>
  <si>
    <t>64-75-10-6</t>
  </si>
  <si>
    <t>64-75-12-4</t>
  </si>
  <si>
    <t>64-75-12-5</t>
  </si>
  <si>
    <t>64-75-12-6</t>
  </si>
  <si>
    <t>64-75-15-4</t>
  </si>
  <si>
    <t>64-75-15-5</t>
  </si>
  <si>
    <t>64-75-15-6</t>
  </si>
  <si>
    <t>64-80-1-2</t>
  </si>
  <si>
    <t>64-80-2-3</t>
  </si>
  <si>
    <t>64-80-3-4</t>
  </si>
  <si>
    <t>64-80-5-3</t>
  </si>
  <si>
    <t>64-80-6-4</t>
  </si>
  <si>
    <t>64-80-10-4</t>
  </si>
  <si>
    <t>64-80-10-5</t>
  </si>
  <si>
    <t>64-80-10-6</t>
  </si>
  <si>
    <t>64-80-12-4</t>
  </si>
  <si>
    <t>64-80-12-5</t>
  </si>
  <si>
    <t>64-80-12-6</t>
  </si>
  <si>
    <t>64-80-15-4</t>
  </si>
  <si>
    <t>64-80-15-5</t>
  </si>
  <si>
    <t>64-80-15-6</t>
  </si>
  <si>
    <t>66-40-1-2</t>
  </si>
  <si>
    <t>66-40-2-3</t>
  </si>
  <si>
    <t>66-40-3-4</t>
  </si>
  <si>
    <t>66-40-5-3</t>
  </si>
  <si>
    <t>66-40-6-4</t>
  </si>
  <si>
    <t>66-45-1-2</t>
  </si>
  <si>
    <t>66-45-2-3</t>
  </si>
  <si>
    <t>66-45-3-4</t>
  </si>
  <si>
    <t>66-45-5-3</t>
  </si>
  <si>
    <t>66-45-6-4</t>
  </si>
  <si>
    <t>66-50-1-2</t>
  </si>
  <si>
    <t>66-50-2-3</t>
  </si>
  <si>
    <t>66-50-3-4</t>
  </si>
  <si>
    <t>66-50-5-3</t>
  </si>
  <si>
    <t>66-50-6-4</t>
  </si>
  <si>
    <t>66-55-1-2</t>
  </si>
  <si>
    <t>66-55-2-3</t>
  </si>
  <si>
    <t>66-55-3-4</t>
  </si>
  <si>
    <t>66-55-5-3</t>
  </si>
  <si>
    <t>66-55-6-4</t>
  </si>
  <si>
    <t>66-60-1-2</t>
  </si>
  <si>
    <t>66-60-2-3</t>
  </si>
  <si>
    <t>66-60-3-4</t>
  </si>
  <si>
    <t>66-60-5-3</t>
  </si>
  <si>
    <t>66-60-6-4</t>
  </si>
  <si>
    <t>66-124-10-6</t>
  </si>
  <si>
    <t>66-125-1-2</t>
  </si>
  <si>
    <t>66-125-2-3</t>
  </si>
  <si>
    <t>66-125-3-4</t>
  </si>
  <si>
    <t>66-125-5-3</t>
  </si>
  <si>
    <t>66-125-6-4</t>
  </si>
  <si>
    <t>66-125-10-4</t>
  </si>
  <si>
    <t>66-125-10-5</t>
  </si>
  <si>
    <t>66-125-12-4</t>
  </si>
  <si>
    <t>66-125-12-5</t>
  </si>
  <si>
    <t>66-125-12-6</t>
  </si>
  <si>
    <t>66-125-15-4</t>
  </si>
  <si>
    <t>66-125-15-5</t>
  </si>
  <si>
    <t>66-125-15-6</t>
  </si>
  <si>
    <t>66-129-10-6</t>
  </si>
  <si>
    <t>66-130-1-2</t>
  </si>
  <si>
    <t>66-130-2-3</t>
  </si>
  <si>
    <t>66-130-3-4</t>
  </si>
  <si>
    <t>66-130-5-3</t>
  </si>
  <si>
    <t>66-130-6-4</t>
  </si>
  <si>
    <t>66-130-10-4</t>
  </si>
  <si>
    <t>66-130-10-5</t>
  </si>
  <si>
    <t>66-130-12-4</t>
  </si>
  <si>
    <t>66-130-12-5</t>
  </si>
  <si>
    <t>66-130-12-6</t>
  </si>
  <si>
    <t>66-130-15-4</t>
  </si>
  <si>
    <t>66-130-15-5</t>
  </si>
  <si>
    <t>66-130-15-6</t>
  </si>
  <si>
    <t>100-30-1-2</t>
  </si>
  <si>
    <t>100-30-2-3</t>
  </si>
  <si>
    <t>100-30-3-4</t>
  </si>
  <si>
    <t>100-30-5-3</t>
  </si>
  <si>
    <t>100-30-6-4</t>
  </si>
  <si>
    <t>100-35-1-2</t>
  </si>
  <si>
    <t>100-35-2-3</t>
  </si>
  <si>
    <t>100-35-3-4</t>
  </si>
  <si>
    <t>100-35-5-3</t>
  </si>
  <si>
    <t>100-35-6-4</t>
  </si>
  <si>
    <t>100-40-1-2</t>
  </si>
  <si>
    <t>100-40-2-3</t>
  </si>
  <si>
    <t>100-40-3-4</t>
  </si>
  <si>
    <t>100-40-5-3</t>
  </si>
  <si>
    <t>100-40-6-4</t>
  </si>
  <si>
    <t>100-45-1-2</t>
  </si>
  <si>
    <t>100-45-2-3</t>
  </si>
  <si>
    <t>100-45-3-4</t>
  </si>
  <si>
    <t>100-45-5-3</t>
  </si>
  <si>
    <t>100-45-6-4</t>
  </si>
  <si>
    <t>100-50-10-4</t>
  </si>
  <si>
    <t>100-50-10-5</t>
  </si>
  <si>
    <t>100-50-10-6</t>
  </si>
  <si>
    <t>100-50-12-4</t>
  </si>
  <si>
    <t>100-50-12-5</t>
  </si>
  <si>
    <t>100-50-12-6</t>
  </si>
  <si>
    <t>100-50-15-4</t>
  </si>
  <si>
    <t>100-50-15-5</t>
  </si>
  <si>
    <t>100-50-15-6</t>
  </si>
  <si>
    <t>100-60-10-4</t>
  </si>
  <si>
    <t>100-60-10-5</t>
  </si>
  <si>
    <t>100-60-10-6</t>
  </si>
  <si>
    <t>100-60-12-4</t>
  </si>
  <si>
    <t>100-60-12-5</t>
  </si>
  <si>
    <t>100-60-12-6</t>
  </si>
  <si>
    <t>100-60-15-4</t>
  </si>
  <si>
    <t>100-60-15-5</t>
  </si>
  <si>
    <t>100-60-15-6</t>
  </si>
  <si>
    <t>100-70-10-4</t>
  </si>
  <si>
    <t>100-70-10-5</t>
  </si>
  <si>
    <t>100-70-10-6</t>
  </si>
  <si>
    <t>100-70-12-4</t>
  </si>
  <si>
    <t>100-70-12-5</t>
  </si>
  <si>
    <t>100-70-12-6</t>
  </si>
  <si>
    <t>100-70-15-4</t>
  </si>
  <si>
    <t>100-70-15-5</t>
  </si>
  <si>
    <t>100-70-15-6</t>
  </si>
  <si>
    <t>100-80-10-4</t>
  </si>
  <si>
    <t>100-80-10-5</t>
  </si>
  <si>
    <t>100-80-10-6</t>
  </si>
  <si>
    <t>100-80-12-4</t>
  </si>
  <si>
    <t>100-80-12-5</t>
  </si>
  <si>
    <t>100-80-12-6</t>
  </si>
  <si>
    <t>100-80-15-4</t>
  </si>
  <si>
    <t>100-80-15-5</t>
  </si>
  <si>
    <t>100-80-15-6</t>
  </si>
  <si>
    <t>100-90-10-4</t>
  </si>
  <si>
    <t>100-90-10-5</t>
  </si>
  <si>
    <t>100-90-10-6</t>
  </si>
  <si>
    <t>100-90-12-4</t>
  </si>
  <si>
    <t>100-90-12-5</t>
  </si>
  <si>
    <t>100-90-12-6</t>
  </si>
  <si>
    <t>100-90-15-4</t>
  </si>
  <si>
    <t>100-90-15-5</t>
  </si>
  <si>
    <t>100-90-15-6</t>
  </si>
  <si>
    <t>100-100-10-4</t>
  </si>
  <si>
    <t>100-100-10-5</t>
  </si>
  <si>
    <t>100-100-10-6</t>
  </si>
  <si>
    <t>100-100-12-4</t>
  </si>
  <si>
    <t>100-100-12-5</t>
  </si>
  <si>
    <t>100-100-12-6</t>
  </si>
  <si>
    <t>100-100-15-4</t>
  </si>
  <si>
    <t>100-100-15-5</t>
  </si>
  <si>
    <t>100-100-15-6</t>
  </si>
  <si>
    <t>100-100-15-8</t>
  </si>
  <si>
    <t>100-110-10-4</t>
  </si>
  <si>
    <t>100-110-10-5</t>
  </si>
  <si>
    <t>100-110-10-6</t>
  </si>
  <si>
    <t>100-110-12-4</t>
  </si>
  <si>
    <t>100-110-12-5</t>
  </si>
  <si>
    <t>100-110-12-6</t>
  </si>
  <si>
    <t>100-110-15-4</t>
  </si>
  <si>
    <t>100-110-15-5</t>
  </si>
  <si>
    <t>100-110-15-6</t>
  </si>
  <si>
    <t>100-110-15-8</t>
  </si>
  <si>
    <t>100-120-10-4</t>
  </si>
  <si>
    <t>100-120-10-5</t>
  </si>
  <si>
    <t>100-120-10-6</t>
  </si>
  <si>
    <t>100-120-12-4</t>
  </si>
  <si>
    <t>100-120-12-5</t>
  </si>
  <si>
    <t>100-120-12-6</t>
  </si>
  <si>
    <t>100-120-15-4</t>
  </si>
  <si>
    <t>100-120-15-5</t>
  </si>
  <si>
    <t>100-120-15-6</t>
  </si>
  <si>
    <t>100-120-15-8</t>
  </si>
  <si>
    <t>100-130-10-4</t>
  </si>
  <si>
    <t>100-130-10-5</t>
  </si>
  <si>
    <t>100-130-10-6</t>
  </si>
  <si>
    <t>100-130-12-4</t>
  </si>
  <si>
    <t>100-130-12-5</t>
  </si>
  <si>
    <t>100-130-12-6</t>
  </si>
  <si>
    <t>100-130-15-4</t>
  </si>
  <si>
    <t>100-130-15-5</t>
  </si>
  <si>
    <t>100-130-15-6</t>
  </si>
  <si>
    <t>100-130-15-8</t>
  </si>
  <si>
    <t>100-140-10-4</t>
  </si>
  <si>
    <t>100-140-10-5</t>
  </si>
  <si>
    <t>100-140-10-6</t>
  </si>
  <si>
    <t>100-140-12-4</t>
  </si>
  <si>
    <t>100-140-12-5</t>
  </si>
  <si>
    <t>100-140-12-6</t>
  </si>
  <si>
    <t>100-140-15-4</t>
  </si>
  <si>
    <t>100-140-15-5</t>
  </si>
  <si>
    <t>100-140-15-6</t>
  </si>
  <si>
    <t>100-140-15-8</t>
  </si>
  <si>
    <t>100-140-15-10</t>
  </si>
  <si>
    <t>100-150-10-4</t>
  </si>
  <si>
    <t>100-150-10-5</t>
  </si>
  <si>
    <t>100-150-10-6</t>
  </si>
  <si>
    <t>100-150-12-4</t>
  </si>
  <si>
    <t>100-150-12-5</t>
  </si>
  <si>
    <t>100-150-12-6</t>
  </si>
  <si>
    <t>100-150-15-4</t>
  </si>
  <si>
    <t>100-150-15-5</t>
  </si>
  <si>
    <t>100-150-15-6</t>
  </si>
  <si>
    <t>100-150-15-8</t>
  </si>
  <si>
    <t>100-150-15-10</t>
  </si>
  <si>
    <t>100-160-10-4</t>
  </si>
  <si>
    <t>100-160-10-5</t>
  </si>
  <si>
    <t>100-160-10-6</t>
  </si>
  <si>
    <t>100-160-12-4</t>
  </si>
  <si>
    <t>100-160-12-5</t>
  </si>
  <si>
    <t>100-160-12-6</t>
  </si>
  <si>
    <t>100-160-15-4</t>
  </si>
  <si>
    <t>100-160-15-5</t>
  </si>
  <si>
    <t>100-160-15-6</t>
  </si>
  <si>
    <t>100-160-15-8</t>
  </si>
  <si>
    <t>100-160-15-10</t>
  </si>
  <si>
    <t>100-170-10-4</t>
  </si>
  <si>
    <t>100-170-10-5</t>
  </si>
  <si>
    <t>100-170-10-6</t>
  </si>
  <si>
    <t>100-170-12-4</t>
  </si>
  <si>
    <t>100-170-12-5</t>
  </si>
  <si>
    <t>100-170-12-6</t>
  </si>
  <si>
    <t>100-170-15-4</t>
  </si>
  <si>
    <t>100-170-15-5</t>
  </si>
  <si>
    <t>100-170-15-6</t>
  </si>
  <si>
    <t>100-170-15-8</t>
  </si>
  <si>
    <t>100-170-15-10</t>
  </si>
  <si>
    <t>100-180-10-4</t>
  </si>
  <si>
    <t>100-180-10-5</t>
  </si>
  <si>
    <t>100-180-10-6</t>
  </si>
  <si>
    <t>100-180-12-4</t>
  </si>
  <si>
    <t>100-180-12-5</t>
  </si>
  <si>
    <t>100-180-12-6</t>
  </si>
  <si>
    <t>100-180-15-4</t>
  </si>
  <si>
    <t>100-180-15-5</t>
  </si>
  <si>
    <t>100-180-15-6</t>
  </si>
  <si>
    <t>100-180-15-8</t>
  </si>
  <si>
    <t>100-180-15-10</t>
  </si>
  <si>
    <t>100-190-10-4</t>
  </si>
  <si>
    <t>100-190-10-5</t>
  </si>
  <si>
    <t>100-190-10-6</t>
  </si>
  <si>
    <t>100-190-12-4</t>
  </si>
  <si>
    <t>100-190-12-5</t>
  </si>
  <si>
    <t>100-190-12-6</t>
  </si>
  <si>
    <t>100-190-15-4</t>
  </si>
  <si>
    <t>100-190-15-5</t>
  </si>
  <si>
    <t>100-190-15-6</t>
  </si>
  <si>
    <t>100-190-15-8</t>
  </si>
  <si>
    <t>100-190-15-10</t>
  </si>
  <si>
    <t>100-200-10-4</t>
  </si>
  <si>
    <t>100-200-10-5</t>
  </si>
  <si>
    <t>100-200-10-6</t>
  </si>
  <si>
    <t>100-200-12-4</t>
  </si>
  <si>
    <t>100-200-12-5</t>
  </si>
  <si>
    <t>100-200-12-6</t>
  </si>
  <si>
    <t>100-200-15-4</t>
  </si>
  <si>
    <t>100-200-15-5</t>
  </si>
  <si>
    <t>100-200-15-6</t>
  </si>
  <si>
    <t>100-200-15-8</t>
  </si>
  <si>
    <t>100-200-15-10</t>
  </si>
  <si>
    <t>100-210-10-4</t>
  </si>
  <si>
    <t>100-210-10-5</t>
  </si>
  <si>
    <t>100-210-10-6</t>
  </si>
  <si>
    <t>100-210-12-4</t>
  </si>
  <si>
    <t>100-210-12-5</t>
  </si>
  <si>
    <t>100-210-12-6</t>
  </si>
  <si>
    <t>100-210-15-4</t>
  </si>
  <si>
    <t>100-210-15-5</t>
  </si>
  <si>
    <t>100-210-15-6</t>
  </si>
  <si>
    <t>100-210-15-8</t>
  </si>
  <si>
    <t>100-210-15-10</t>
  </si>
  <si>
    <t>100-240-10-4</t>
  </si>
  <si>
    <t>100-240-10-5</t>
  </si>
  <si>
    <t>100-240-10-6</t>
  </si>
  <si>
    <t>100-240-12-4</t>
  </si>
  <si>
    <t>100-240-12-5</t>
  </si>
  <si>
    <t>100-240-12-6</t>
  </si>
  <si>
    <t>100-240-15-4</t>
  </si>
  <si>
    <t>100-240-15-5</t>
  </si>
  <si>
    <t>100-240-15-6</t>
  </si>
  <si>
    <t>100-240-15-8</t>
  </si>
  <si>
    <t>100-240-15-10</t>
  </si>
  <si>
    <t>102-50-1-2</t>
  </si>
  <si>
    <t>102-50-2-3</t>
  </si>
  <si>
    <t>102-50-3-4</t>
  </si>
  <si>
    <t>102-50-5-3</t>
  </si>
  <si>
    <t>102-50-6-4</t>
  </si>
  <si>
    <t>102-60-1-2</t>
  </si>
  <si>
    <t>102-60-2-3</t>
  </si>
  <si>
    <t>102-60-3-4</t>
  </si>
  <si>
    <t>102-60-5-3</t>
  </si>
  <si>
    <t>102-60-6-4</t>
  </si>
  <si>
    <t>AVG</t>
  </si>
  <si>
    <t>OPHS</t>
  </si>
  <si>
    <t>model trained  32-5-5</t>
  </si>
  <si>
    <t>model trained 64-10-6</t>
  </si>
  <si>
    <t>OPHSSP</t>
  </si>
  <si>
    <t>model trained  100-15-6</t>
  </si>
  <si>
    <t>model trained 100-15-7</t>
  </si>
  <si>
    <t>Gap</t>
  </si>
  <si>
    <t>Time</t>
  </si>
  <si>
    <t>Test Results for OPHS/OPHSSP (395 Instances)</t>
  </si>
  <si>
    <t>Objective Value</t>
  </si>
  <si>
    <t>Optimal Value</t>
  </si>
  <si>
    <t>OPHS32</t>
  </si>
  <si>
    <t>OPHS64</t>
  </si>
  <si>
    <t>OPHS100</t>
  </si>
  <si>
    <t>MIN/MAX</t>
  </si>
  <si>
    <t>Max</t>
  </si>
  <si>
    <t>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</si>
</sst>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name val="Calibri"/>
      <family val="2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</fills>
  <borders count="2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5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164" fontId="0" fillId="0" borderId="16" xfId="0" applyNumberFormat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2" fontId="0" fillId="0" borderId="7" xfId="0" applyNumberFormat="1" applyBorder="1" applyAlignment="1">
      <alignment horizontal="center" vertical="center"/>
    </xf>
    <xf numFmtId="2" fontId="0" fillId="0" borderId="8" xfId="0" applyNumberFormat="1" applyBorder="1" applyAlignment="1">
      <alignment horizontal="center" vertical="center"/>
    </xf>
    <xf numFmtId="2" fontId="0" fillId="0" borderId="5" xfId="0" applyNumberFormat="1" applyBorder="1" applyAlignment="1">
      <alignment horizontal="center" vertical="center"/>
    </xf>
    <xf numFmtId="2" fontId="0" fillId="0" borderId="2" xfId="0" applyNumberFormat="1" applyBorder="1" applyAlignment="1">
      <alignment horizontal="center" vertical="center"/>
    </xf>
    <xf numFmtId="2" fontId="0" fillId="0" borderId="11" xfId="0" applyNumberFormat="1" applyBorder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2" fontId="0" fillId="0" borderId="13" xfId="0" applyNumberFormat="1" applyBorder="1" applyAlignment="1">
      <alignment horizontal="center" vertical="center"/>
    </xf>
    <xf numFmtId="2" fontId="0" fillId="0" borderId="16" xfId="0" applyNumberFormat="1" applyBorder="1" applyAlignment="1">
      <alignment horizontal="center" vertical="center"/>
    </xf>
    <xf numFmtId="2" fontId="0" fillId="0" borderId="15" xfId="0" applyNumberFormat="1" applyBorder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2" fontId="0" fillId="0" borderId="9" xfId="0" applyNumberFormat="1" applyBorder="1" applyAlignment="1">
      <alignment horizontal="center" vertical="center"/>
    </xf>
    <xf numFmtId="165" fontId="0" fillId="0" borderId="5" xfId="0" applyNumberFormat="1" applyBorder="1" applyAlignment="1">
      <alignment horizontal="center" vertical="center"/>
    </xf>
    <xf numFmtId="2" fontId="0" fillId="0" borderId="6" xfId="0" applyNumberFormat="1" applyBorder="1" applyAlignment="1">
      <alignment horizontal="center" vertical="center"/>
    </xf>
    <xf numFmtId="165" fontId="0" fillId="0" borderId="11" xfId="0" applyNumberFormat="1" applyBorder="1" applyAlignment="1">
      <alignment horizontal="center" vertical="center"/>
    </xf>
    <xf numFmtId="165" fontId="0" fillId="0" borderId="13" xfId="0" applyNumberFormat="1" applyBorder="1" applyAlignment="1">
      <alignment horizontal="center" vertical="center"/>
    </xf>
    <xf numFmtId="2" fontId="0" fillId="0" borderId="12" xfId="0" applyNumberFormat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3" borderId="0" xfId="0" applyFill="1"/>
    <xf numFmtId="0" fontId="1" fillId="0" borderId="2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2" fontId="0" fillId="0" borderId="4" xfId="0" applyNumberForma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4" xfId="0" applyBorder="1" applyAlignment="1">
      <alignment horizontal="center"/>
    </xf>
    <xf numFmtId="0" fontId="0" fillId="0" borderId="1" xfId="0" applyBorder="1" applyAlignment="1">
      <alignment horizontal="center"/>
    </xf>
    <xf numFmtId="2" fontId="0" fillId="0" borderId="9" xfId="0" applyNumberFormat="1" applyBorder="1"/>
    <xf numFmtId="0" fontId="7" fillId="4" borderId="0" xfId="0" applyFont="1" applyFill="1" applyAlignment="1">
      <alignment horizontal="center" vertical="center" wrapText="1"/>
    </xf>
    <xf numFmtId="0" fontId="7" fillId="4" borderId="6" xfId="0" applyFont="1" applyFill="1" applyBorder="1" applyAlignment="1">
      <alignment horizontal="center" vertical="center" wrapText="1"/>
    </xf>
    <xf numFmtId="0" fontId="6" fillId="6" borderId="14" xfId="0" applyFont="1" applyFill="1" applyBorder="1" applyAlignment="1">
      <alignment horizontal="center" vertical="center"/>
    </xf>
    <xf numFmtId="0" fontId="6" fillId="6" borderId="16" xfId="0" applyFont="1" applyFill="1" applyBorder="1" applyAlignment="1">
      <alignment horizontal="center" vertical="center"/>
    </xf>
    <xf numFmtId="0" fontId="6" fillId="5" borderId="14" xfId="0" applyFont="1" applyFill="1" applyBorder="1" applyAlignment="1">
      <alignment horizontal="center" vertical="center"/>
    </xf>
    <xf numFmtId="0" fontId="6" fillId="5" borderId="16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2" fontId="4" fillId="0" borderId="1" xfId="0" applyNumberFormat="1" applyFont="1" applyBorder="1" applyAlignment="1">
      <alignment horizontal="center" vertical="center"/>
    </xf>
    <xf numFmtId="2" fontId="4" fillId="0" borderId="8" xfId="0" applyNumberFormat="1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</cellXfs>
  <cellStyles count="1">
    <cellStyle name="Normal" xfId="0" builtinId="0"/>
  </cellStyles>
  <dxfs count="3"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A79885-BAAA-46D9-B8A5-A863CBDF109B}">
  <dimension ref="A1:P422"/>
  <sheetViews>
    <sheetView tabSelected="1" zoomScale="85" zoomScaleNormal="85" workbookViewId="0">
      <pane xSplit="2" ySplit="3" topLeftCell="C4" activePane="bottomRight" state="frozen"/>
      <selection pane="topRight" activeCell="C1" sqref="C1"/>
      <selection pane="bottomLeft" activeCell="A5" sqref="A5"/>
      <selection pane="bottomRight" activeCell="N7" sqref="N7"/>
    </sheetView>
  </sheetViews>
  <sheetFormatPr defaultRowHeight="14.4" x14ac:dyDescent="0.3"/>
  <cols>
    <col min="1" max="1" width="16.5546875" customWidth="1"/>
    <col min="2" max="2" width="13.33203125" customWidth="1"/>
    <col min="3" max="3" width="18" customWidth="1"/>
    <col min="4" max="4" width="17.5546875" customWidth="1"/>
    <col min="5" max="5" width="17" customWidth="1"/>
    <col min="6" max="6" width="14.5546875" customWidth="1"/>
    <col min="7" max="7" width="19.33203125" customWidth="1"/>
    <col min="8" max="8" width="15.88671875" customWidth="1"/>
    <col min="9" max="9" width="15.109375" customWidth="1"/>
    <col min="10" max="10" width="11.109375" customWidth="1"/>
    <col min="11" max="11" width="16.77734375" customWidth="1"/>
    <col min="12" max="12" width="14.77734375" customWidth="1"/>
    <col min="13" max="13" width="16.77734375" customWidth="1"/>
    <col min="14" max="14" width="17.33203125" customWidth="1"/>
    <col min="15" max="15" width="14.88671875" customWidth="1"/>
    <col min="16" max="16" width="13.6640625" customWidth="1"/>
    <col min="17" max="16384" width="8.88671875" style="2"/>
  </cols>
  <sheetData>
    <row r="1" spans="1:16" ht="72.599999999999994" customHeight="1" thickBot="1" x14ac:dyDescent="0.35">
      <c r="A1" s="41" t="s">
        <v>409</v>
      </c>
      <c r="B1" s="42"/>
      <c r="C1" s="43" t="s">
        <v>401</v>
      </c>
      <c r="D1" s="44"/>
      <c r="E1" s="44"/>
      <c r="F1" s="44"/>
      <c r="G1" s="44"/>
      <c r="H1" s="44"/>
      <c r="I1" s="44"/>
      <c r="J1" s="31"/>
      <c r="K1" s="45" t="s">
        <v>404</v>
      </c>
      <c r="L1" s="46"/>
      <c r="M1" s="46"/>
      <c r="N1" s="46"/>
      <c r="O1" s="46"/>
      <c r="P1" s="46"/>
    </row>
    <row r="2" spans="1:16" s="1" customFormat="1" ht="25.2" customHeight="1" thickBot="1" x14ac:dyDescent="0.35">
      <c r="A2" s="47" t="s">
        <v>0</v>
      </c>
      <c r="B2" s="49" t="s">
        <v>411</v>
      </c>
      <c r="C2" s="51" t="s">
        <v>3</v>
      </c>
      <c r="D2" s="52"/>
      <c r="E2" s="51" t="s">
        <v>4</v>
      </c>
      <c r="F2" s="52"/>
      <c r="G2" s="51" t="s">
        <v>405</v>
      </c>
      <c r="H2" s="52"/>
      <c r="I2" s="53" t="s">
        <v>1</v>
      </c>
      <c r="J2" s="31"/>
      <c r="K2" s="55" t="s">
        <v>402</v>
      </c>
      <c r="L2" s="56"/>
      <c r="M2" s="56" t="s">
        <v>403</v>
      </c>
      <c r="N2" s="56"/>
      <c r="O2" s="55" t="s">
        <v>406</v>
      </c>
      <c r="P2" s="57"/>
    </row>
    <row r="3" spans="1:16" s="1" customFormat="1" ht="21" customHeight="1" thickBot="1" x14ac:dyDescent="0.35">
      <c r="A3" s="48"/>
      <c r="B3" s="50"/>
      <c r="C3" s="4" t="s">
        <v>410</v>
      </c>
      <c r="D3" s="5" t="s">
        <v>2</v>
      </c>
      <c r="E3" s="6" t="s">
        <v>410</v>
      </c>
      <c r="F3" s="5" t="s">
        <v>2</v>
      </c>
      <c r="G3" s="4" t="s">
        <v>410</v>
      </c>
      <c r="H3" s="5" t="s">
        <v>2</v>
      </c>
      <c r="I3" s="54"/>
      <c r="J3" s="31"/>
      <c r="K3" s="4" t="s">
        <v>410</v>
      </c>
      <c r="L3" s="5" t="s">
        <v>2</v>
      </c>
      <c r="M3" s="4" t="s">
        <v>410</v>
      </c>
      <c r="N3" s="5" t="s">
        <v>2</v>
      </c>
      <c r="O3" s="4" t="s">
        <v>410</v>
      </c>
      <c r="P3" s="5" t="s">
        <v>2</v>
      </c>
    </row>
    <row r="4" spans="1:16" x14ac:dyDescent="0.3">
      <c r="A4" s="30" t="s">
        <v>5</v>
      </c>
      <c r="B4" s="3">
        <v>240</v>
      </c>
      <c r="C4" s="2">
        <v>225</v>
      </c>
      <c r="D4" s="19">
        <v>0.63510870933532715</v>
      </c>
      <c r="E4" s="2">
        <v>220</v>
      </c>
      <c r="F4" s="19">
        <v>0.67097711563110352</v>
      </c>
      <c r="G4" s="2">
        <v>225</v>
      </c>
      <c r="H4" s="19">
        <v>0.79101347923278809</v>
      </c>
      <c r="I4" s="13">
        <f t="shared" ref="I4:I67" si="0">((B4-MAX(C4,E4,G4))/B4)*100</f>
        <v>6.25</v>
      </c>
      <c r="J4" s="31"/>
      <c r="K4" s="25">
        <v>178.33396080409619</v>
      </c>
      <c r="L4" s="19">
        <v>0.5716090202331543</v>
      </c>
      <c r="M4" s="23">
        <v>174.08530246307771</v>
      </c>
      <c r="N4" s="19">
        <v>0.60918045043945313</v>
      </c>
      <c r="O4" s="23">
        <v>169.1793840948622</v>
      </c>
      <c r="P4" s="26">
        <v>0.30317521095275879</v>
      </c>
    </row>
    <row r="5" spans="1:16" x14ac:dyDescent="0.3">
      <c r="A5" s="30" t="s">
        <v>6</v>
      </c>
      <c r="B5" s="3">
        <v>240</v>
      </c>
      <c r="C5" s="2">
        <v>225</v>
      </c>
      <c r="D5" s="19">
        <v>0.1914525032043457</v>
      </c>
      <c r="E5" s="2">
        <v>230</v>
      </c>
      <c r="F5" s="19">
        <v>0.22584033012390139</v>
      </c>
      <c r="G5" s="2">
        <v>215</v>
      </c>
      <c r="H5" s="19">
        <v>0.22870779037475589</v>
      </c>
      <c r="I5" s="14">
        <f t="shared" si="0"/>
        <v>4.1666666666666661</v>
      </c>
      <c r="J5" s="31"/>
      <c r="K5" s="25">
        <v>157.26664189998979</v>
      </c>
      <c r="L5" s="19">
        <v>0.22140741348266599</v>
      </c>
      <c r="M5" s="23">
        <v>176.41580361334351</v>
      </c>
      <c r="N5" s="19">
        <v>0.1795194149017334</v>
      </c>
      <c r="O5" s="23">
        <v>175.82602710954521</v>
      </c>
      <c r="P5" s="26">
        <v>0.17553019523620611</v>
      </c>
    </row>
    <row r="6" spans="1:16" x14ac:dyDescent="0.3">
      <c r="A6" s="30" t="s">
        <v>7</v>
      </c>
      <c r="B6" s="3">
        <v>240</v>
      </c>
      <c r="C6" s="2">
        <v>215</v>
      </c>
      <c r="D6" s="19">
        <v>0.1906430721282959</v>
      </c>
      <c r="E6" s="2">
        <v>230</v>
      </c>
      <c r="F6" s="19">
        <v>0.2207903861999512</v>
      </c>
      <c r="G6" s="2">
        <v>215</v>
      </c>
      <c r="H6" s="19">
        <v>0.24166035652160639</v>
      </c>
      <c r="I6" s="14">
        <f t="shared" si="0"/>
        <v>4.1666666666666661</v>
      </c>
      <c r="J6" s="31"/>
      <c r="K6" s="25">
        <v>169.33020082832701</v>
      </c>
      <c r="L6" s="19">
        <v>0.19058060646057129</v>
      </c>
      <c r="M6" s="23">
        <v>178.42507454126721</v>
      </c>
      <c r="N6" s="19">
        <v>0.18350839614868161</v>
      </c>
      <c r="O6" s="23">
        <v>178.42507454126721</v>
      </c>
      <c r="P6" s="26">
        <v>0.18051648139953611</v>
      </c>
    </row>
    <row r="7" spans="1:16" x14ac:dyDescent="0.3">
      <c r="A7" s="30" t="s">
        <v>8</v>
      </c>
      <c r="B7" s="3">
        <v>240</v>
      </c>
      <c r="C7" s="2">
        <v>225</v>
      </c>
      <c r="D7" s="19">
        <v>0.19488406181335449</v>
      </c>
      <c r="E7" s="2">
        <v>230</v>
      </c>
      <c r="F7" s="19">
        <v>0.4652564525604248</v>
      </c>
      <c r="G7" s="2">
        <v>225</v>
      </c>
      <c r="H7" s="19">
        <v>0.24736952781677249</v>
      </c>
      <c r="I7" s="14">
        <f t="shared" si="0"/>
        <v>4.1666666666666661</v>
      </c>
      <c r="J7" s="31"/>
      <c r="K7" s="25">
        <v>177.11130744110909</v>
      </c>
      <c r="L7" s="19">
        <v>0.21146965026855469</v>
      </c>
      <c r="M7" s="23">
        <v>177.09323340213649</v>
      </c>
      <c r="N7" s="19">
        <v>0.1884963512420654</v>
      </c>
      <c r="O7" s="23">
        <v>172.3429381252588</v>
      </c>
      <c r="P7" s="26">
        <v>0.18151354789733889</v>
      </c>
    </row>
    <row r="8" spans="1:16" x14ac:dyDescent="0.3">
      <c r="A8" s="30" t="s">
        <v>9</v>
      </c>
      <c r="B8" s="3">
        <v>240</v>
      </c>
      <c r="C8" s="2">
        <v>215</v>
      </c>
      <c r="D8" s="19">
        <v>0.1920435428619385</v>
      </c>
      <c r="E8" s="2">
        <v>230</v>
      </c>
      <c r="F8" s="19">
        <v>0.24513483047485349</v>
      </c>
      <c r="G8" s="2">
        <v>225</v>
      </c>
      <c r="H8" s="19">
        <v>0.25654888153076172</v>
      </c>
      <c r="I8" s="14">
        <f t="shared" si="0"/>
        <v>4.1666666666666661</v>
      </c>
      <c r="J8" s="31"/>
      <c r="K8" s="25">
        <v>175.5385648687984</v>
      </c>
      <c r="L8" s="19">
        <v>0.26429200172424322</v>
      </c>
      <c r="M8" s="23">
        <v>175.75647923661609</v>
      </c>
      <c r="N8" s="19">
        <v>0.25167942047119141</v>
      </c>
      <c r="O8" s="23">
        <v>175.37691500626349</v>
      </c>
      <c r="P8" s="26">
        <v>0.1914870738983154</v>
      </c>
    </row>
    <row r="9" spans="1:16" x14ac:dyDescent="0.3">
      <c r="A9" s="30" t="s">
        <v>10</v>
      </c>
      <c r="B9" s="3">
        <v>260</v>
      </c>
      <c r="C9" s="2">
        <v>250</v>
      </c>
      <c r="D9" s="19">
        <v>0.20037150382995611</v>
      </c>
      <c r="E9" s="2">
        <v>245</v>
      </c>
      <c r="F9" s="19">
        <v>0.1980085372924805</v>
      </c>
      <c r="G9" s="2">
        <v>240</v>
      </c>
      <c r="H9" s="19">
        <v>0.24621033668518069</v>
      </c>
      <c r="I9" s="14">
        <f t="shared" si="0"/>
        <v>3.8461538461538463</v>
      </c>
      <c r="J9" s="31"/>
      <c r="K9" s="25">
        <v>188.82601438141461</v>
      </c>
      <c r="L9" s="19">
        <v>0.1934816837310791</v>
      </c>
      <c r="M9" s="23">
        <v>180.5210649574307</v>
      </c>
      <c r="N9" s="19">
        <v>0.18550372123718259</v>
      </c>
      <c r="O9" s="23">
        <v>175.24705236172389</v>
      </c>
      <c r="P9" s="26">
        <v>0.23836302757263181</v>
      </c>
    </row>
    <row r="10" spans="1:16" x14ac:dyDescent="0.3">
      <c r="A10" s="30" t="s">
        <v>11</v>
      </c>
      <c r="B10" s="3">
        <v>260</v>
      </c>
      <c r="C10" s="2">
        <v>245</v>
      </c>
      <c r="D10" s="19">
        <v>0.20404291152954099</v>
      </c>
      <c r="E10" s="2">
        <v>245</v>
      </c>
      <c r="F10" s="19">
        <v>0.19806909561157229</v>
      </c>
      <c r="G10" s="2">
        <v>240</v>
      </c>
      <c r="H10" s="19">
        <v>0.23734331130981451</v>
      </c>
      <c r="I10" s="14">
        <f t="shared" si="0"/>
        <v>5.7692307692307692</v>
      </c>
      <c r="J10" s="31"/>
      <c r="K10" s="25">
        <v>183.42551174868339</v>
      </c>
      <c r="L10" s="19">
        <v>0.23490357398986819</v>
      </c>
      <c r="M10" s="23">
        <v>183.42550861137411</v>
      </c>
      <c r="N10" s="19">
        <v>0.17952060699462891</v>
      </c>
      <c r="O10" s="23">
        <v>183.42550861137411</v>
      </c>
      <c r="P10" s="26">
        <v>0.18350887298583979</v>
      </c>
    </row>
    <row r="11" spans="1:16" x14ac:dyDescent="0.3">
      <c r="A11" s="30" t="s">
        <v>12</v>
      </c>
      <c r="B11" s="3">
        <v>260</v>
      </c>
      <c r="C11" s="2">
        <v>255</v>
      </c>
      <c r="D11" s="19">
        <v>0.2209582328796387</v>
      </c>
      <c r="E11" s="2">
        <v>250</v>
      </c>
      <c r="F11" s="19">
        <v>0.22058391571044919</v>
      </c>
      <c r="G11" s="2">
        <v>250</v>
      </c>
      <c r="H11" s="19">
        <v>0.25831437110900879</v>
      </c>
      <c r="I11" s="14">
        <f t="shared" si="0"/>
        <v>1.9230769230769231</v>
      </c>
      <c r="J11" s="31"/>
      <c r="K11" s="25">
        <v>190.1481769213037</v>
      </c>
      <c r="L11" s="19">
        <v>0.20764470100402829</v>
      </c>
      <c r="M11" s="23">
        <v>190.1481769213037</v>
      </c>
      <c r="N11" s="19">
        <v>0.1914868354797363</v>
      </c>
      <c r="O11" s="23">
        <v>185.7265430311177</v>
      </c>
      <c r="P11" s="26">
        <v>0.19048953056335449</v>
      </c>
    </row>
    <row r="12" spans="1:16" x14ac:dyDescent="0.3">
      <c r="A12" s="30" t="s">
        <v>13</v>
      </c>
      <c r="B12" s="3">
        <v>260</v>
      </c>
      <c r="C12" s="2">
        <v>250</v>
      </c>
      <c r="D12" s="19">
        <v>0.21795415878295901</v>
      </c>
      <c r="E12" s="2">
        <v>245</v>
      </c>
      <c r="F12" s="19">
        <v>0.19894504547119141</v>
      </c>
      <c r="G12" s="2">
        <v>245</v>
      </c>
      <c r="H12" s="19">
        <v>0.25208687782287598</v>
      </c>
      <c r="I12" s="14">
        <f t="shared" si="0"/>
        <v>3.8461538461538463</v>
      </c>
      <c r="J12" s="31"/>
      <c r="K12" s="25">
        <v>185.7394499216459</v>
      </c>
      <c r="L12" s="19">
        <v>0.19747185707092291</v>
      </c>
      <c r="M12" s="23">
        <v>185.7394499216459</v>
      </c>
      <c r="N12" s="19">
        <v>0.18650102615356451</v>
      </c>
      <c r="O12" s="23">
        <v>185.7394499216459</v>
      </c>
      <c r="P12" s="26">
        <v>0.18550348281860349</v>
      </c>
    </row>
    <row r="13" spans="1:16" x14ac:dyDescent="0.3">
      <c r="A13" s="30" t="s">
        <v>14</v>
      </c>
      <c r="B13" s="3">
        <v>260</v>
      </c>
      <c r="C13" s="2">
        <v>260</v>
      </c>
      <c r="D13" s="19">
        <v>0.26088070869445801</v>
      </c>
      <c r="E13" s="2">
        <v>250</v>
      </c>
      <c r="F13" s="19">
        <v>0.230769157409668</v>
      </c>
      <c r="G13" s="2">
        <v>245</v>
      </c>
      <c r="H13" s="19">
        <v>0.27584552764892578</v>
      </c>
      <c r="I13" s="14">
        <f t="shared" si="0"/>
        <v>0</v>
      </c>
      <c r="J13" s="31"/>
      <c r="K13" s="25">
        <v>188.18789194104849</v>
      </c>
      <c r="L13" s="19">
        <v>0.24634075164794919</v>
      </c>
      <c r="M13" s="23">
        <v>188.18789194104849</v>
      </c>
      <c r="N13" s="19">
        <v>0.19561100006103521</v>
      </c>
      <c r="O13" s="23">
        <v>183.78004025069001</v>
      </c>
      <c r="P13" s="26">
        <v>0.195476770401001</v>
      </c>
    </row>
    <row r="14" spans="1:16" x14ac:dyDescent="0.3">
      <c r="A14" s="30" t="s">
        <v>15</v>
      </c>
      <c r="B14" s="3">
        <v>265</v>
      </c>
      <c r="C14" s="2">
        <v>255</v>
      </c>
      <c r="D14" s="19">
        <v>0.24787020683288569</v>
      </c>
      <c r="E14" s="2">
        <v>245</v>
      </c>
      <c r="F14" s="19">
        <v>0.19023227691650391</v>
      </c>
      <c r="G14" s="2">
        <v>250</v>
      </c>
      <c r="H14" s="19">
        <v>0.2423510551452637</v>
      </c>
      <c r="I14" s="14">
        <f t="shared" si="0"/>
        <v>3.7735849056603774</v>
      </c>
      <c r="J14" s="31"/>
      <c r="K14" s="25">
        <v>185.5878174877588</v>
      </c>
      <c r="L14" s="19">
        <v>0.22041034698486331</v>
      </c>
      <c r="M14" s="23">
        <v>186.0571056272552</v>
      </c>
      <c r="N14" s="19">
        <v>0.18354225158691409</v>
      </c>
      <c r="O14" s="23">
        <v>175.79797642694601</v>
      </c>
      <c r="P14" s="26">
        <v>0.17453289031982419</v>
      </c>
    </row>
    <row r="15" spans="1:16" x14ac:dyDescent="0.3">
      <c r="A15" s="30" t="s">
        <v>16</v>
      </c>
      <c r="B15" s="3">
        <v>265</v>
      </c>
      <c r="C15" s="2">
        <v>235</v>
      </c>
      <c r="D15" s="19">
        <v>0.23709750175476069</v>
      </c>
      <c r="E15" s="2">
        <v>240</v>
      </c>
      <c r="F15" s="19">
        <v>0.18700504302978521</v>
      </c>
      <c r="G15" s="2">
        <v>240</v>
      </c>
      <c r="H15" s="19">
        <v>0.31903266906738281</v>
      </c>
      <c r="I15" s="14">
        <f t="shared" si="0"/>
        <v>9.433962264150944</v>
      </c>
      <c r="J15" s="31"/>
      <c r="K15" s="25">
        <v>185.96377067508811</v>
      </c>
      <c r="L15" s="19">
        <v>0.19922518730163569</v>
      </c>
      <c r="M15" s="23">
        <v>181.30344401748081</v>
      </c>
      <c r="N15" s="19">
        <v>0.1775250434875488</v>
      </c>
      <c r="O15" s="23">
        <v>185.96377067508811</v>
      </c>
      <c r="P15" s="26">
        <v>0.23536968231201169</v>
      </c>
    </row>
    <row r="16" spans="1:16" x14ac:dyDescent="0.3">
      <c r="A16" s="30" t="s">
        <v>17</v>
      </c>
      <c r="B16" s="3">
        <v>265</v>
      </c>
      <c r="C16" s="2">
        <v>255</v>
      </c>
      <c r="D16" s="19">
        <v>0.25385332107543951</v>
      </c>
      <c r="E16" s="2">
        <v>250</v>
      </c>
      <c r="F16" s="19">
        <v>0.2033126354217529</v>
      </c>
      <c r="G16" s="2">
        <v>250</v>
      </c>
      <c r="H16" s="19">
        <v>0.25972652435302729</v>
      </c>
      <c r="I16" s="14">
        <f t="shared" si="0"/>
        <v>3.7735849056603774</v>
      </c>
      <c r="J16" s="31"/>
      <c r="K16" s="25">
        <v>184.94264237604909</v>
      </c>
      <c r="L16" s="19">
        <v>0.23840498924255371</v>
      </c>
      <c r="M16" s="23">
        <v>176.12736253208979</v>
      </c>
      <c r="N16" s="19">
        <v>0.18550300598144531</v>
      </c>
      <c r="O16" s="23">
        <v>189.29766805213561</v>
      </c>
      <c r="P16" s="26">
        <v>0.18949246406555181</v>
      </c>
    </row>
    <row r="17" spans="1:16" x14ac:dyDescent="0.3">
      <c r="A17" s="30" t="s">
        <v>18</v>
      </c>
      <c r="B17" s="3">
        <v>265</v>
      </c>
      <c r="C17" s="2">
        <v>250</v>
      </c>
      <c r="D17" s="19">
        <v>0.2283015251159668</v>
      </c>
      <c r="E17" s="2">
        <v>245</v>
      </c>
      <c r="F17" s="19">
        <v>0.2250359058380127</v>
      </c>
      <c r="G17" s="2">
        <v>245</v>
      </c>
      <c r="H17" s="19">
        <v>0.28759670257568359</v>
      </c>
      <c r="I17" s="14">
        <f t="shared" si="0"/>
        <v>5.6603773584905666</v>
      </c>
      <c r="J17" s="31"/>
      <c r="K17" s="25">
        <v>184.80419919052869</v>
      </c>
      <c r="L17" s="19">
        <v>0.20046377182006839</v>
      </c>
      <c r="M17" s="23">
        <v>176.17305430497601</v>
      </c>
      <c r="N17" s="19">
        <v>0.18550348281860349</v>
      </c>
      <c r="O17" s="23">
        <v>179.5914739323205</v>
      </c>
      <c r="P17" s="26">
        <v>0.19547724723815921</v>
      </c>
    </row>
    <row r="18" spans="1:16" x14ac:dyDescent="0.3">
      <c r="A18" s="30" t="s">
        <v>19</v>
      </c>
      <c r="B18" s="3">
        <v>265</v>
      </c>
      <c r="C18" s="2">
        <v>260</v>
      </c>
      <c r="D18" s="19">
        <v>0.23280453681945801</v>
      </c>
      <c r="E18" s="2">
        <v>250</v>
      </c>
      <c r="F18" s="19">
        <v>0.25464534759521479</v>
      </c>
      <c r="G18" s="2">
        <v>245</v>
      </c>
      <c r="H18" s="19">
        <v>0.29456686973571777</v>
      </c>
      <c r="I18" s="14">
        <f t="shared" si="0"/>
        <v>1.8867924528301887</v>
      </c>
      <c r="J18" s="31"/>
      <c r="K18" s="25">
        <v>191.46204441536</v>
      </c>
      <c r="L18" s="19">
        <v>0.23337507247924799</v>
      </c>
      <c r="M18" s="23">
        <v>191.90863098464189</v>
      </c>
      <c r="N18" s="19">
        <v>0.19884681701660159</v>
      </c>
      <c r="O18" s="23">
        <v>182.4722674272146</v>
      </c>
      <c r="P18" s="26">
        <v>0.1934819221496582</v>
      </c>
    </row>
    <row r="19" spans="1:16" x14ac:dyDescent="0.3">
      <c r="A19" s="30" t="s">
        <v>20</v>
      </c>
      <c r="B19" s="3">
        <v>270</v>
      </c>
      <c r="C19" s="2">
        <v>250</v>
      </c>
      <c r="D19" s="19">
        <v>0.27905964851379389</v>
      </c>
      <c r="E19" s="2">
        <v>250</v>
      </c>
      <c r="F19" s="19">
        <v>0.25173830986022949</v>
      </c>
      <c r="G19" s="2">
        <v>240</v>
      </c>
      <c r="H19" s="19">
        <v>0.26755118370056152</v>
      </c>
      <c r="I19" s="14">
        <f t="shared" si="0"/>
        <v>7.4074074074074066</v>
      </c>
      <c r="J19" s="31"/>
      <c r="K19" s="25">
        <v>185.29982817904681</v>
      </c>
      <c r="L19" s="19">
        <v>0.1934819221496582</v>
      </c>
      <c r="M19" s="23">
        <v>184.43258803929351</v>
      </c>
      <c r="N19" s="19">
        <v>0.17936086654663089</v>
      </c>
      <c r="O19" s="23">
        <v>179.16550575986699</v>
      </c>
      <c r="P19" s="26">
        <v>0.17852234840393069</v>
      </c>
    </row>
    <row r="20" spans="1:16" x14ac:dyDescent="0.3">
      <c r="A20" s="30" t="s">
        <v>21</v>
      </c>
      <c r="B20" s="3">
        <v>270</v>
      </c>
      <c r="C20" s="2">
        <v>250</v>
      </c>
      <c r="D20" s="19">
        <v>0.23259592056274411</v>
      </c>
      <c r="E20" s="2">
        <v>245</v>
      </c>
      <c r="F20" s="19">
        <v>0.25427937507629389</v>
      </c>
      <c r="G20" s="2">
        <v>245</v>
      </c>
      <c r="H20" s="19">
        <v>0.27011275291442871</v>
      </c>
      <c r="I20" s="14">
        <f t="shared" si="0"/>
        <v>7.4074074074074066</v>
      </c>
      <c r="J20" s="31"/>
      <c r="K20" s="25">
        <v>195.18591247776311</v>
      </c>
      <c r="L20" s="19">
        <v>0.21700716018676761</v>
      </c>
      <c r="M20" s="23">
        <v>199.5895978213492</v>
      </c>
      <c r="N20" s="19">
        <v>0.1884961128234863</v>
      </c>
      <c r="O20" s="23">
        <v>186.24375357042419</v>
      </c>
      <c r="P20" s="26">
        <v>0.18450641632080081</v>
      </c>
    </row>
    <row r="21" spans="1:16" x14ac:dyDescent="0.3">
      <c r="A21" s="30" t="s">
        <v>22</v>
      </c>
      <c r="B21" s="3">
        <v>270</v>
      </c>
      <c r="C21" s="2">
        <v>250</v>
      </c>
      <c r="D21" s="19">
        <v>0.23663949966430661</v>
      </c>
      <c r="E21" s="2">
        <v>250</v>
      </c>
      <c r="F21" s="19">
        <v>0.20086002349853521</v>
      </c>
      <c r="G21" s="2">
        <v>245</v>
      </c>
      <c r="H21" s="19">
        <v>0.25490498542785639</v>
      </c>
      <c r="I21" s="14">
        <f t="shared" si="0"/>
        <v>7.4074074074074066</v>
      </c>
      <c r="J21" s="31"/>
      <c r="K21" s="25">
        <v>181.2334851570312</v>
      </c>
      <c r="L21" s="19">
        <v>0.20146036148071289</v>
      </c>
      <c r="M21" s="23">
        <v>199.1631119928584</v>
      </c>
      <c r="N21" s="19">
        <v>0.19447922706604001</v>
      </c>
      <c r="O21" s="23">
        <v>190.49700806959149</v>
      </c>
      <c r="P21" s="26">
        <v>0.18949294090270999</v>
      </c>
    </row>
    <row r="22" spans="1:16" x14ac:dyDescent="0.3">
      <c r="A22" s="30" t="s">
        <v>23</v>
      </c>
      <c r="B22" s="3">
        <v>270</v>
      </c>
      <c r="C22" s="2">
        <v>250</v>
      </c>
      <c r="D22" s="19">
        <v>0.25282716751098627</v>
      </c>
      <c r="E22" s="2">
        <v>250</v>
      </c>
      <c r="F22" s="19">
        <v>0.26010012626647949</v>
      </c>
      <c r="G22" s="2">
        <v>240</v>
      </c>
      <c r="H22" s="19">
        <v>0.28609371185302729</v>
      </c>
      <c r="I22" s="14">
        <f t="shared" si="0"/>
        <v>7.4074074074074066</v>
      </c>
      <c r="J22" s="31"/>
      <c r="K22" s="25">
        <v>189.84140140440431</v>
      </c>
      <c r="L22" s="19">
        <v>0.20545101165771479</v>
      </c>
      <c r="M22" s="23">
        <v>193.76155522419691</v>
      </c>
      <c r="N22" s="19">
        <v>0.19148802757263181</v>
      </c>
      <c r="O22" s="23">
        <v>189.5984513082405</v>
      </c>
      <c r="P22" s="26">
        <v>0.19447946548461911</v>
      </c>
    </row>
    <row r="23" spans="1:16" x14ac:dyDescent="0.3">
      <c r="A23" s="30" t="s">
        <v>24</v>
      </c>
      <c r="B23" s="3">
        <v>270</v>
      </c>
      <c r="C23" s="2">
        <v>245</v>
      </c>
      <c r="D23" s="19">
        <v>0.23790884017944339</v>
      </c>
      <c r="E23" s="2">
        <v>250</v>
      </c>
      <c r="F23" s="19">
        <v>0.2124974727630615</v>
      </c>
      <c r="G23" s="2">
        <v>245</v>
      </c>
      <c r="H23" s="19">
        <v>0.34444093704223627</v>
      </c>
      <c r="I23" s="14">
        <f t="shared" si="0"/>
        <v>7.4074074074074066</v>
      </c>
      <c r="J23" s="31"/>
      <c r="K23" s="25">
        <v>189.37323328433391</v>
      </c>
      <c r="L23" s="19">
        <v>0.20744514465332031</v>
      </c>
      <c r="M23" s="23">
        <v>193.77687156828031</v>
      </c>
      <c r="N23" s="19">
        <v>0.1950113773345947</v>
      </c>
      <c r="O23" s="23">
        <v>189.57537639821729</v>
      </c>
      <c r="P23" s="26">
        <v>0.19747138023376459</v>
      </c>
    </row>
    <row r="24" spans="1:16" x14ac:dyDescent="0.3">
      <c r="A24" s="30" t="s">
        <v>25</v>
      </c>
      <c r="B24" s="3">
        <v>280</v>
      </c>
      <c r="C24" s="2">
        <v>260</v>
      </c>
      <c r="D24" s="19">
        <v>0.2179715633392334</v>
      </c>
      <c r="E24" s="2">
        <v>255</v>
      </c>
      <c r="F24" s="19">
        <v>0.24627423286437991</v>
      </c>
      <c r="G24" s="2">
        <v>255</v>
      </c>
      <c r="H24" s="19">
        <v>0.32562565803527832</v>
      </c>
      <c r="I24" s="14">
        <f t="shared" si="0"/>
        <v>7.1428571428571423</v>
      </c>
      <c r="J24" s="31"/>
      <c r="K24" s="25">
        <v>201.78345346433301</v>
      </c>
      <c r="L24" s="19">
        <v>0.2039837837219238</v>
      </c>
      <c r="M24" s="23">
        <v>184.6696274447049</v>
      </c>
      <c r="N24" s="19">
        <v>0.188018798828125</v>
      </c>
      <c r="O24" s="23">
        <v>170.10098551456429</v>
      </c>
      <c r="P24" s="26">
        <v>0.18051671981811521</v>
      </c>
    </row>
    <row r="25" spans="1:16" x14ac:dyDescent="0.3">
      <c r="A25" s="30" t="s">
        <v>26</v>
      </c>
      <c r="B25" s="3">
        <v>280</v>
      </c>
      <c r="C25" s="2">
        <v>260</v>
      </c>
      <c r="D25" s="19">
        <v>0.29010748863220209</v>
      </c>
      <c r="E25" s="2">
        <v>250</v>
      </c>
      <c r="F25" s="19">
        <v>0.20012450218200681</v>
      </c>
      <c r="G25" s="2">
        <v>260</v>
      </c>
      <c r="H25" s="19">
        <v>0.36011958122253418</v>
      </c>
      <c r="I25" s="14">
        <f t="shared" si="0"/>
        <v>7.1428571428571423</v>
      </c>
      <c r="J25" s="31"/>
      <c r="K25" s="25">
        <v>199.9275111332154</v>
      </c>
      <c r="L25" s="19">
        <v>0.20549154281616211</v>
      </c>
      <c r="M25" s="23">
        <v>195.5191480614383</v>
      </c>
      <c r="N25" s="19">
        <v>0.2044527530670166</v>
      </c>
      <c r="O25" s="23">
        <v>191.0416261430874</v>
      </c>
      <c r="P25" s="26">
        <v>0.18749809265136719</v>
      </c>
    </row>
    <row r="26" spans="1:16" x14ac:dyDescent="0.3">
      <c r="A26" s="30" t="s">
        <v>27</v>
      </c>
      <c r="B26" s="3">
        <v>280</v>
      </c>
      <c r="C26" s="2">
        <v>265</v>
      </c>
      <c r="D26" s="19">
        <v>0.2748875617980957</v>
      </c>
      <c r="E26" s="2">
        <v>255</v>
      </c>
      <c r="F26" s="19">
        <v>0.21609783172607419</v>
      </c>
      <c r="G26" s="2">
        <v>260</v>
      </c>
      <c r="H26" s="19">
        <v>0.33900570869445801</v>
      </c>
      <c r="I26" s="14">
        <f t="shared" si="0"/>
        <v>5.3571428571428568</v>
      </c>
      <c r="J26" s="31"/>
      <c r="K26" s="25">
        <v>199.90590448395241</v>
      </c>
      <c r="L26" s="19">
        <v>0.20844244956970209</v>
      </c>
      <c r="M26" s="23">
        <v>199.90590448395241</v>
      </c>
      <c r="N26" s="19">
        <v>0.19647383689880371</v>
      </c>
      <c r="O26" s="23">
        <v>199.90590448395241</v>
      </c>
      <c r="P26" s="26">
        <v>0.19647455215454099</v>
      </c>
    </row>
    <row r="27" spans="1:16" x14ac:dyDescent="0.3">
      <c r="A27" s="30" t="s">
        <v>28</v>
      </c>
      <c r="B27" s="3">
        <v>280</v>
      </c>
      <c r="C27" s="2">
        <v>265</v>
      </c>
      <c r="D27" s="19">
        <v>0.3349766731262207</v>
      </c>
      <c r="E27" s="2">
        <v>255</v>
      </c>
      <c r="F27" s="19">
        <v>0.25532770156860352</v>
      </c>
      <c r="G27" s="2">
        <v>265</v>
      </c>
      <c r="H27" s="19">
        <v>0.3143916130065918</v>
      </c>
      <c r="I27" s="14">
        <f t="shared" si="0"/>
        <v>5.3571428571428568</v>
      </c>
      <c r="J27" s="31"/>
      <c r="K27" s="25">
        <v>192.30355032821069</v>
      </c>
      <c r="L27" s="19">
        <v>0.26030349731445313</v>
      </c>
      <c r="M27" s="23">
        <v>192.599342125193</v>
      </c>
      <c r="N27" s="19">
        <v>0.19248461723327639</v>
      </c>
      <c r="O27" s="23">
        <v>197.17099900958681</v>
      </c>
      <c r="P27" s="26">
        <v>0.1934821605682373</v>
      </c>
    </row>
    <row r="28" spans="1:16" x14ac:dyDescent="0.3">
      <c r="A28" s="30" t="s">
        <v>29</v>
      </c>
      <c r="B28" s="3">
        <v>280</v>
      </c>
      <c r="C28" s="2">
        <v>255</v>
      </c>
      <c r="D28" s="19">
        <v>0.26603221893310552</v>
      </c>
      <c r="E28" s="2">
        <v>255</v>
      </c>
      <c r="F28" s="19">
        <v>0.24224209785461431</v>
      </c>
      <c r="G28" s="2">
        <v>260</v>
      </c>
      <c r="H28" s="19">
        <v>0.29170918464660639</v>
      </c>
      <c r="I28" s="14">
        <f t="shared" si="0"/>
        <v>7.1428571428571423</v>
      </c>
      <c r="J28" s="31"/>
      <c r="K28" s="25">
        <v>194.06289064674149</v>
      </c>
      <c r="L28" s="19">
        <v>0.20944046974182129</v>
      </c>
      <c r="M28" s="23">
        <v>193.6584287296528</v>
      </c>
      <c r="N28" s="19">
        <v>0.2074849605560303</v>
      </c>
      <c r="O28" s="23">
        <v>185.28894171571841</v>
      </c>
      <c r="P28" s="26">
        <v>0.20545053482055661</v>
      </c>
    </row>
    <row r="29" spans="1:16" x14ac:dyDescent="0.3">
      <c r="A29" s="30" t="s">
        <v>30</v>
      </c>
      <c r="B29" s="3">
        <v>285</v>
      </c>
      <c r="C29" s="2">
        <v>255</v>
      </c>
      <c r="D29" s="19">
        <v>0.25332260131835938</v>
      </c>
      <c r="E29" s="2">
        <v>260</v>
      </c>
      <c r="F29" s="19">
        <v>0.23366117477416989</v>
      </c>
      <c r="G29" s="2">
        <v>255</v>
      </c>
      <c r="H29" s="19">
        <v>0.33691143989562988</v>
      </c>
      <c r="I29" s="14">
        <f t="shared" si="0"/>
        <v>8.7719298245614024</v>
      </c>
      <c r="J29" s="31"/>
      <c r="K29" s="25">
        <v>203.55182923369529</v>
      </c>
      <c r="L29" s="19">
        <v>0.20000028610229489</v>
      </c>
      <c r="M29" s="23">
        <v>194.20091343281351</v>
      </c>
      <c r="N29" s="19">
        <v>0.1865386962890625</v>
      </c>
      <c r="O29" s="23">
        <v>190.01241299793969</v>
      </c>
      <c r="P29" s="26">
        <v>0.1795191764831543</v>
      </c>
    </row>
    <row r="30" spans="1:16" x14ac:dyDescent="0.3">
      <c r="A30" s="30" t="s">
        <v>31</v>
      </c>
      <c r="B30" s="3">
        <v>285</v>
      </c>
      <c r="C30" s="2">
        <v>255</v>
      </c>
      <c r="D30" s="19">
        <v>0.25499820709228521</v>
      </c>
      <c r="E30" s="2">
        <v>255</v>
      </c>
      <c r="F30" s="19">
        <v>0.24878931045532229</v>
      </c>
      <c r="G30" s="2">
        <v>245</v>
      </c>
      <c r="H30" s="19">
        <v>0.28182506561279302</v>
      </c>
      <c r="I30" s="14">
        <f t="shared" si="0"/>
        <v>10.526315789473683</v>
      </c>
      <c r="J30" s="31"/>
      <c r="K30" s="25">
        <v>198.67977498224261</v>
      </c>
      <c r="L30" s="19">
        <v>0.2044947147369385</v>
      </c>
      <c r="M30" s="23">
        <v>198.68082911817291</v>
      </c>
      <c r="N30" s="19">
        <v>0.25631332397460938</v>
      </c>
      <c r="O30" s="23">
        <v>189.65296833223411</v>
      </c>
      <c r="P30" s="26">
        <v>0.18749880790710449</v>
      </c>
    </row>
    <row r="31" spans="1:16" x14ac:dyDescent="0.3">
      <c r="A31" s="30" t="s">
        <v>32</v>
      </c>
      <c r="B31" s="3">
        <v>285</v>
      </c>
      <c r="C31" s="2">
        <v>260</v>
      </c>
      <c r="D31" s="19">
        <v>0.3511970043182373</v>
      </c>
      <c r="E31" s="2">
        <v>260</v>
      </c>
      <c r="F31" s="19">
        <v>0.22130441665649411</v>
      </c>
      <c r="G31" s="2">
        <v>255</v>
      </c>
      <c r="H31" s="19">
        <v>0.30837678909301758</v>
      </c>
      <c r="I31" s="14">
        <f t="shared" si="0"/>
        <v>8.7719298245614024</v>
      </c>
      <c r="J31" s="31"/>
      <c r="K31" s="25">
        <v>193.26680468228739</v>
      </c>
      <c r="L31" s="19">
        <v>0.20744490623474121</v>
      </c>
      <c r="M31" s="23">
        <v>197.91031222464869</v>
      </c>
      <c r="N31" s="19">
        <v>0.20545005798339841</v>
      </c>
      <c r="O31" s="23">
        <v>193.45804564629589</v>
      </c>
      <c r="P31" s="26">
        <v>0.1954765319824219</v>
      </c>
    </row>
    <row r="32" spans="1:16" x14ac:dyDescent="0.3">
      <c r="A32" s="30" t="s">
        <v>33</v>
      </c>
      <c r="B32" s="3">
        <v>285</v>
      </c>
      <c r="C32" s="2">
        <v>260</v>
      </c>
      <c r="D32" s="19">
        <v>0.27399945259094238</v>
      </c>
      <c r="E32" s="2">
        <v>255</v>
      </c>
      <c r="F32" s="19">
        <v>0.20744538307189939</v>
      </c>
      <c r="G32" s="2">
        <v>255</v>
      </c>
      <c r="H32" s="19">
        <v>0.38318991661071777</v>
      </c>
      <c r="I32" s="14">
        <f t="shared" si="0"/>
        <v>8.7719298245614024</v>
      </c>
      <c r="J32" s="31"/>
      <c r="K32" s="25">
        <v>196.37701504237489</v>
      </c>
      <c r="L32" s="19">
        <v>0.2393603324890137</v>
      </c>
      <c r="M32" s="23">
        <v>196.37701504237489</v>
      </c>
      <c r="N32" s="19">
        <v>0.2383615970611572</v>
      </c>
      <c r="O32" s="23">
        <v>196.39291492599111</v>
      </c>
      <c r="P32" s="26">
        <v>0.20345568656921389</v>
      </c>
    </row>
    <row r="33" spans="1:16" x14ac:dyDescent="0.3">
      <c r="A33" s="30" t="s">
        <v>34</v>
      </c>
      <c r="B33" s="3">
        <v>285</v>
      </c>
      <c r="C33" s="2">
        <v>265</v>
      </c>
      <c r="D33" s="19">
        <v>0.26165580749511719</v>
      </c>
      <c r="E33" s="2">
        <v>255</v>
      </c>
      <c r="F33" s="19">
        <v>0.35872411727905268</v>
      </c>
      <c r="G33" s="2">
        <v>250</v>
      </c>
      <c r="H33" s="19">
        <v>0.31765437126159668</v>
      </c>
      <c r="I33" s="14">
        <f t="shared" si="0"/>
        <v>7.0175438596491224</v>
      </c>
      <c r="J33" s="31"/>
      <c r="K33" s="25">
        <v>194.29766805213561</v>
      </c>
      <c r="L33" s="19">
        <v>0.22192120552062991</v>
      </c>
      <c r="M33" s="23">
        <v>203.61812999148179</v>
      </c>
      <c r="N33" s="19">
        <v>0.2109634876251221</v>
      </c>
      <c r="O33" s="23">
        <v>199.20730413189119</v>
      </c>
      <c r="P33" s="26">
        <v>0.19946599006652829</v>
      </c>
    </row>
    <row r="34" spans="1:16" x14ac:dyDescent="0.3">
      <c r="A34" s="30" t="s">
        <v>35</v>
      </c>
      <c r="B34" s="3">
        <v>610</v>
      </c>
      <c r="C34" s="2">
        <v>580</v>
      </c>
      <c r="D34" s="19">
        <v>0.36638045310974121</v>
      </c>
      <c r="E34" s="2">
        <v>580</v>
      </c>
      <c r="F34" s="19">
        <v>0.18632698059082031</v>
      </c>
      <c r="G34" s="2">
        <v>570</v>
      </c>
      <c r="H34" s="19">
        <v>0.26355361938476563</v>
      </c>
      <c r="I34" s="14">
        <f t="shared" si="0"/>
        <v>4.918032786885246</v>
      </c>
      <c r="J34" s="31"/>
      <c r="K34" s="25">
        <v>388.82893388136239</v>
      </c>
      <c r="L34" s="19">
        <v>0.21846938133239749</v>
      </c>
      <c r="M34" s="23">
        <v>388.56933408465579</v>
      </c>
      <c r="N34" s="19">
        <v>0.16160678863525391</v>
      </c>
      <c r="O34" s="23">
        <v>397.02493710201998</v>
      </c>
      <c r="P34" s="26">
        <v>0.16056990623474121</v>
      </c>
    </row>
    <row r="35" spans="1:16" x14ac:dyDescent="0.3">
      <c r="A35" s="30" t="s">
        <v>36</v>
      </c>
      <c r="B35" s="3">
        <v>610</v>
      </c>
      <c r="C35" s="2">
        <v>520</v>
      </c>
      <c r="D35" s="19">
        <v>0.2159469127655029</v>
      </c>
      <c r="E35" s="2">
        <v>540</v>
      </c>
      <c r="F35" s="19">
        <v>0.1921837329864502</v>
      </c>
      <c r="G35" s="2">
        <v>520</v>
      </c>
      <c r="H35" s="19">
        <v>0.28204965591430659</v>
      </c>
      <c r="I35" s="14">
        <f t="shared" si="0"/>
        <v>11.475409836065573</v>
      </c>
      <c r="J35" s="31"/>
      <c r="K35" s="25">
        <v>315.98735361561569</v>
      </c>
      <c r="L35" s="19">
        <v>0.16555666923522949</v>
      </c>
      <c r="M35" s="23">
        <v>305.68942844829832</v>
      </c>
      <c r="N35" s="19">
        <v>0.15159463882446289</v>
      </c>
      <c r="O35" s="23">
        <v>316.8046038687192</v>
      </c>
      <c r="P35" s="26">
        <v>0.15059661865234381</v>
      </c>
    </row>
    <row r="36" spans="1:16" x14ac:dyDescent="0.3">
      <c r="A36" s="30" t="s">
        <v>37</v>
      </c>
      <c r="B36" s="3">
        <v>610</v>
      </c>
      <c r="C36" s="2">
        <v>600</v>
      </c>
      <c r="D36" s="19">
        <v>0.2387285232543945</v>
      </c>
      <c r="E36" s="2">
        <v>580</v>
      </c>
      <c r="F36" s="19">
        <v>0.21057629585266111</v>
      </c>
      <c r="G36" s="2">
        <v>510</v>
      </c>
      <c r="H36" s="19">
        <v>0.28287863731384277</v>
      </c>
      <c r="I36" s="14">
        <f t="shared" si="0"/>
        <v>1.639344262295082</v>
      </c>
      <c r="J36" s="31"/>
      <c r="K36" s="25">
        <v>404.40219671033952</v>
      </c>
      <c r="L36" s="19">
        <v>0.24534296989440921</v>
      </c>
      <c r="M36" s="23">
        <v>395.29541377123371</v>
      </c>
      <c r="N36" s="19">
        <v>0.22041034698486331</v>
      </c>
      <c r="O36" s="23">
        <v>341.41026806468318</v>
      </c>
      <c r="P36" s="26">
        <v>0.16256451606750491</v>
      </c>
    </row>
    <row r="37" spans="1:16" x14ac:dyDescent="0.3">
      <c r="A37" s="30" t="s">
        <v>38</v>
      </c>
      <c r="B37" s="3">
        <v>610</v>
      </c>
      <c r="C37" s="2">
        <v>530</v>
      </c>
      <c r="D37" s="19">
        <v>0.21134853363037109</v>
      </c>
      <c r="E37" s="2">
        <v>590</v>
      </c>
      <c r="F37" s="19">
        <v>0.30074548721313482</v>
      </c>
      <c r="G37" s="2">
        <v>550</v>
      </c>
      <c r="H37" s="19">
        <v>0.28313088417053223</v>
      </c>
      <c r="I37" s="14">
        <f t="shared" si="0"/>
        <v>3.278688524590164</v>
      </c>
      <c r="J37" s="31"/>
      <c r="K37" s="25">
        <v>343.54732160106983</v>
      </c>
      <c r="L37" s="19">
        <v>0.17154073715209961</v>
      </c>
      <c r="M37" s="23">
        <v>324.59863395304319</v>
      </c>
      <c r="N37" s="19">
        <v>0.20744466781616211</v>
      </c>
      <c r="O37" s="23">
        <v>307.27999183199398</v>
      </c>
      <c r="P37" s="26">
        <v>0.1595726013183594</v>
      </c>
    </row>
    <row r="38" spans="1:16" x14ac:dyDescent="0.3">
      <c r="A38" s="30" t="s">
        <v>39</v>
      </c>
      <c r="B38" s="3">
        <v>610</v>
      </c>
      <c r="C38" s="2">
        <v>600</v>
      </c>
      <c r="D38" s="19">
        <v>0.22299766540527341</v>
      </c>
      <c r="E38" s="2">
        <v>540</v>
      </c>
      <c r="F38" s="19">
        <v>0.2105667591094971</v>
      </c>
      <c r="G38" s="2">
        <v>550</v>
      </c>
      <c r="H38" s="19">
        <v>0.27735209465026861</v>
      </c>
      <c r="I38" s="14">
        <f t="shared" si="0"/>
        <v>1.639344262295082</v>
      </c>
      <c r="J38" s="31"/>
      <c r="K38" s="25">
        <v>368.49762550007461</v>
      </c>
      <c r="L38" s="19">
        <v>0.20467948913574219</v>
      </c>
      <c r="M38" s="23">
        <v>348.83860082583368</v>
      </c>
      <c r="N38" s="19">
        <v>0.18008542060852051</v>
      </c>
      <c r="O38" s="23">
        <v>332.48188283971098</v>
      </c>
      <c r="P38" s="26">
        <v>0.16555690765380859</v>
      </c>
    </row>
    <row r="39" spans="1:16" x14ac:dyDescent="0.3">
      <c r="A39" s="30" t="s">
        <v>40</v>
      </c>
      <c r="B39" s="3">
        <v>670</v>
      </c>
      <c r="C39" s="2">
        <v>620</v>
      </c>
      <c r="D39" s="19">
        <v>0.22129011154174799</v>
      </c>
      <c r="E39" s="2">
        <v>610</v>
      </c>
      <c r="F39" s="19">
        <v>0.22104668617248541</v>
      </c>
      <c r="G39" s="2">
        <v>610</v>
      </c>
      <c r="H39" s="19">
        <v>0.27379775047302252</v>
      </c>
      <c r="I39" s="14">
        <f t="shared" si="0"/>
        <v>7.4626865671641784</v>
      </c>
      <c r="J39" s="31"/>
      <c r="K39" s="25">
        <v>429.76401519777647</v>
      </c>
      <c r="L39" s="19">
        <v>0.19501924514770511</v>
      </c>
      <c r="M39" s="23">
        <v>418.73631423571942</v>
      </c>
      <c r="N39" s="19">
        <v>0.1805768013000488</v>
      </c>
      <c r="O39" s="23">
        <v>402.23327214307318</v>
      </c>
      <c r="P39" s="26">
        <v>0.1665542125701904</v>
      </c>
    </row>
    <row r="40" spans="1:16" x14ac:dyDescent="0.3">
      <c r="A40" s="30" t="s">
        <v>41</v>
      </c>
      <c r="B40" s="3">
        <v>670</v>
      </c>
      <c r="C40" s="2">
        <v>600</v>
      </c>
      <c r="D40" s="19">
        <v>0.2186286449432373</v>
      </c>
      <c r="E40" s="2">
        <v>600</v>
      </c>
      <c r="F40" s="19">
        <v>0.2402234077453613</v>
      </c>
      <c r="G40" s="2">
        <v>640</v>
      </c>
      <c r="H40" s="19">
        <v>0.26313424110412598</v>
      </c>
      <c r="I40" s="14">
        <f t="shared" si="0"/>
        <v>4.4776119402985071</v>
      </c>
      <c r="J40" s="31"/>
      <c r="K40" s="25">
        <v>425.15505279525382</v>
      </c>
      <c r="L40" s="19">
        <v>0.18650102615356451</v>
      </c>
      <c r="M40" s="23">
        <v>415.01825355981532</v>
      </c>
      <c r="N40" s="19">
        <v>0.18550419807434079</v>
      </c>
      <c r="O40" s="23">
        <v>396.82415154860348</v>
      </c>
      <c r="P40" s="26">
        <v>0.2263939380645752</v>
      </c>
    </row>
    <row r="41" spans="1:16" x14ac:dyDescent="0.3">
      <c r="A41" s="30" t="s">
        <v>42</v>
      </c>
      <c r="B41" s="3">
        <v>670</v>
      </c>
      <c r="C41" s="2">
        <v>600</v>
      </c>
      <c r="D41" s="19">
        <v>0.2319900989532471</v>
      </c>
      <c r="E41" s="2">
        <v>570</v>
      </c>
      <c r="F41" s="19">
        <v>0.2043492794036865</v>
      </c>
      <c r="G41" s="2">
        <v>570</v>
      </c>
      <c r="H41" s="19">
        <v>0.25778365135192871</v>
      </c>
      <c r="I41" s="14">
        <f t="shared" si="0"/>
        <v>10.44776119402985</v>
      </c>
      <c r="J41" s="31"/>
      <c r="K41" s="25">
        <v>414.07026938464918</v>
      </c>
      <c r="L41" s="19">
        <v>0.2044532299041748</v>
      </c>
      <c r="M41" s="23">
        <v>405.83062619139861</v>
      </c>
      <c r="N41" s="19">
        <v>0.1934812068939209</v>
      </c>
      <c r="O41" s="23">
        <v>387.07052848100801</v>
      </c>
      <c r="P41" s="26">
        <v>0.18251204490661621</v>
      </c>
    </row>
    <row r="42" spans="1:16" x14ac:dyDescent="0.3">
      <c r="A42" s="30" t="s">
        <v>43</v>
      </c>
      <c r="B42" s="3">
        <v>670</v>
      </c>
      <c r="C42" s="2">
        <v>600</v>
      </c>
      <c r="D42" s="19">
        <v>0.25010228157043463</v>
      </c>
      <c r="E42" s="2">
        <v>600</v>
      </c>
      <c r="F42" s="19">
        <v>0.20457601547241211</v>
      </c>
      <c r="G42" s="2">
        <v>590</v>
      </c>
      <c r="H42" s="19">
        <v>0.25786256790161127</v>
      </c>
      <c r="I42" s="14">
        <f t="shared" si="0"/>
        <v>10.44776119402985</v>
      </c>
      <c r="J42" s="31"/>
      <c r="K42" s="25">
        <v>425.9952910081866</v>
      </c>
      <c r="L42" s="19">
        <v>0.2313807010650635</v>
      </c>
      <c r="M42" s="23">
        <v>382.9647860071741</v>
      </c>
      <c r="N42" s="19">
        <v>0.16256618499755859</v>
      </c>
      <c r="O42" s="23">
        <v>389.98722220641127</v>
      </c>
      <c r="P42" s="26">
        <v>0.16555666923522949</v>
      </c>
    </row>
    <row r="43" spans="1:16" x14ac:dyDescent="0.3">
      <c r="A43" s="30" t="s">
        <v>44</v>
      </c>
      <c r="B43" s="3">
        <v>670</v>
      </c>
      <c r="C43" s="2">
        <v>620</v>
      </c>
      <c r="D43" s="19">
        <v>0.31092548370361328</v>
      </c>
      <c r="E43" s="2">
        <v>600</v>
      </c>
      <c r="F43" s="19">
        <v>0.21545696258544919</v>
      </c>
      <c r="G43" s="2">
        <v>610</v>
      </c>
      <c r="H43" s="19">
        <v>0.32289552688598627</v>
      </c>
      <c r="I43" s="14">
        <f t="shared" si="0"/>
        <v>7.4626865671641784</v>
      </c>
      <c r="J43" s="31"/>
      <c r="K43" s="25">
        <v>411.97518677229942</v>
      </c>
      <c r="L43" s="19">
        <v>0.19815945625305181</v>
      </c>
      <c r="M43" s="23">
        <v>384.29796274560658</v>
      </c>
      <c r="N43" s="19">
        <v>0.19447898864746091</v>
      </c>
      <c r="O43" s="23">
        <v>360.8802698526024</v>
      </c>
      <c r="P43" s="26">
        <v>0.17652750015258789</v>
      </c>
    </row>
    <row r="44" spans="1:16" x14ac:dyDescent="0.3">
      <c r="A44" s="30" t="s">
        <v>45</v>
      </c>
      <c r="B44" s="3">
        <v>710</v>
      </c>
      <c r="C44" s="2">
        <v>690</v>
      </c>
      <c r="D44" s="19">
        <v>0.22399258613586431</v>
      </c>
      <c r="E44" s="2">
        <v>670</v>
      </c>
      <c r="F44" s="19">
        <v>0.21293473243713379</v>
      </c>
      <c r="G44" s="2">
        <v>660</v>
      </c>
      <c r="H44" s="19">
        <v>0.27230072021484381</v>
      </c>
      <c r="I44" s="14">
        <f t="shared" si="0"/>
        <v>2.8169014084507045</v>
      </c>
      <c r="J44" s="31"/>
      <c r="K44" s="25">
        <v>469.09654457712941</v>
      </c>
      <c r="L44" s="19">
        <v>0.18255019187927249</v>
      </c>
      <c r="M44" s="23">
        <v>428.24082463718651</v>
      </c>
      <c r="N44" s="19">
        <v>0.18627285957336431</v>
      </c>
      <c r="O44" s="23">
        <v>440.90760030243399</v>
      </c>
      <c r="P44" s="26">
        <v>0.17054414749145511</v>
      </c>
    </row>
    <row r="45" spans="1:16" x14ac:dyDescent="0.3">
      <c r="A45" s="30" t="s">
        <v>46</v>
      </c>
      <c r="B45" s="3">
        <v>710</v>
      </c>
      <c r="C45" s="2">
        <v>680</v>
      </c>
      <c r="D45" s="19">
        <v>0.42492032051086431</v>
      </c>
      <c r="E45" s="2">
        <v>660</v>
      </c>
      <c r="F45" s="19">
        <v>0.22225832939147949</v>
      </c>
      <c r="G45" s="2">
        <v>650</v>
      </c>
      <c r="H45" s="19">
        <v>0.26377081871032709</v>
      </c>
      <c r="I45" s="14">
        <f t="shared" si="0"/>
        <v>4.225352112676056</v>
      </c>
      <c r="J45" s="31"/>
      <c r="K45" s="25">
        <v>426.80884147913878</v>
      </c>
      <c r="L45" s="19">
        <v>0.2154242992401123</v>
      </c>
      <c r="M45" s="23">
        <v>427.1625542807231</v>
      </c>
      <c r="N45" s="19">
        <v>0.1775243282318115</v>
      </c>
      <c r="O45" s="23">
        <v>427.20141926853643</v>
      </c>
      <c r="P45" s="26">
        <v>0.18051671981811521</v>
      </c>
    </row>
    <row r="46" spans="1:16" x14ac:dyDescent="0.3">
      <c r="A46" s="30" t="s">
        <v>47</v>
      </c>
      <c r="B46" s="3">
        <v>710</v>
      </c>
      <c r="C46" s="2">
        <v>630</v>
      </c>
      <c r="D46" s="19">
        <v>0.26600241661071777</v>
      </c>
      <c r="E46" s="2">
        <v>620</v>
      </c>
      <c r="F46" s="19">
        <v>0.21846675872802729</v>
      </c>
      <c r="G46" s="2">
        <v>660</v>
      </c>
      <c r="H46" s="19">
        <v>0.26857185363769531</v>
      </c>
      <c r="I46" s="14">
        <f t="shared" si="0"/>
        <v>7.042253521126761</v>
      </c>
      <c r="J46" s="31"/>
      <c r="K46" s="25">
        <v>411.59404133805128</v>
      </c>
      <c r="L46" s="19">
        <v>0.20046329498291021</v>
      </c>
      <c r="M46" s="23">
        <v>427.65901465620999</v>
      </c>
      <c r="N46" s="19">
        <v>0.17154097557067871</v>
      </c>
      <c r="O46" s="23">
        <v>401.07553195268758</v>
      </c>
      <c r="P46" s="26">
        <v>0.17154121398925781</v>
      </c>
    </row>
    <row r="47" spans="1:16" x14ac:dyDescent="0.3">
      <c r="A47" s="30" t="s">
        <v>48</v>
      </c>
      <c r="B47" s="3">
        <v>710</v>
      </c>
      <c r="C47" s="2">
        <v>680</v>
      </c>
      <c r="D47" s="19">
        <v>0.42983269691467291</v>
      </c>
      <c r="E47" s="2">
        <v>680</v>
      </c>
      <c r="F47" s="19">
        <v>0.21538567543029791</v>
      </c>
      <c r="G47" s="2">
        <v>660</v>
      </c>
      <c r="H47" s="19">
        <v>0.27947068214416498</v>
      </c>
      <c r="I47" s="14">
        <f t="shared" si="0"/>
        <v>4.225352112676056</v>
      </c>
      <c r="J47" s="31"/>
      <c r="K47" s="25">
        <v>438.53861579467048</v>
      </c>
      <c r="L47" s="19">
        <v>0.1884958744049072</v>
      </c>
      <c r="M47" s="23">
        <v>420.27174075655222</v>
      </c>
      <c r="N47" s="19">
        <v>0.1775245666503906</v>
      </c>
      <c r="O47" s="23">
        <v>429.41297135195362</v>
      </c>
      <c r="P47" s="26">
        <v>0.17852187156677249</v>
      </c>
    </row>
    <row r="48" spans="1:16" x14ac:dyDescent="0.3">
      <c r="A48" s="30" t="s">
        <v>49</v>
      </c>
      <c r="B48" s="3">
        <v>710</v>
      </c>
      <c r="C48" s="2">
        <v>630</v>
      </c>
      <c r="D48" s="19">
        <v>0.29747653007507319</v>
      </c>
      <c r="E48" s="2">
        <v>620</v>
      </c>
      <c r="F48" s="19">
        <v>0.22044944763183591</v>
      </c>
      <c r="G48" s="2">
        <v>640</v>
      </c>
      <c r="H48" s="19">
        <v>0.26972699165344238</v>
      </c>
      <c r="I48" s="14">
        <f t="shared" si="0"/>
        <v>9.8591549295774641</v>
      </c>
      <c r="J48" s="31"/>
      <c r="K48" s="25">
        <v>437.48119196414842</v>
      </c>
      <c r="L48" s="19">
        <v>0.21595430374145511</v>
      </c>
      <c r="M48" s="23">
        <v>423.80943348807187</v>
      </c>
      <c r="N48" s="19">
        <v>0.1914868354797363</v>
      </c>
      <c r="O48" s="23">
        <v>420.09213607279872</v>
      </c>
      <c r="P48" s="26">
        <v>0.18051767349243161</v>
      </c>
    </row>
    <row r="49" spans="1:16" x14ac:dyDescent="0.3">
      <c r="A49" s="30" t="s">
        <v>50</v>
      </c>
      <c r="B49" s="3">
        <v>740</v>
      </c>
      <c r="C49" s="2">
        <v>710</v>
      </c>
      <c r="D49" s="19">
        <v>0.35104632377624512</v>
      </c>
      <c r="E49" s="2">
        <v>700</v>
      </c>
      <c r="F49" s="19">
        <v>0.32904791831970209</v>
      </c>
      <c r="G49" s="2">
        <v>680</v>
      </c>
      <c r="H49" s="19">
        <v>0.25483918190002441</v>
      </c>
      <c r="I49" s="14">
        <f t="shared" si="0"/>
        <v>4.0540540540540544</v>
      </c>
      <c r="J49" s="31"/>
      <c r="K49" s="25">
        <v>495.47459402376228</v>
      </c>
      <c r="L49" s="19">
        <v>0.23441052436828611</v>
      </c>
      <c r="M49" s="23">
        <v>504.82090425456749</v>
      </c>
      <c r="N49" s="19">
        <v>0.19201803207397461</v>
      </c>
      <c r="O49" s="23">
        <v>513.46643997795525</v>
      </c>
      <c r="P49" s="26">
        <v>0.17652750015258789</v>
      </c>
    </row>
    <row r="50" spans="1:16" x14ac:dyDescent="0.3">
      <c r="A50" s="30" t="s">
        <v>51</v>
      </c>
      <c r="B50" s="3">
        <v>740</v>
      </c>
      <c r="C50" s="2">
        <v>670</v>
      </c>
      <c r="D50" s="19">
        <v>0.25432038307189941</v>
      </c>
      <c r="E50" s="2">
        <v>660</v>
      </c>
      <c r="F50" s="19">
        <v>0.28023910522460938</v>
      </c>
      <c r="G50" s="2">
        <v>640</v>
      </c>
      <c r="H50" s="19">
        <v>0.45218086242675781</v>
      </c>
      <c r="I50" s="14">
        <f t="shared" si="0"/>
        <v>9.4594594594594597</v>
      </c>
      <c r="J50" s="31"/>
      <c r="K50" s="25">
        <v>427.58127213134611</v>
      </c>
      <c r="L50" s="19">
        <v>0.18949151039123541</v>
      </c>
      <c r="M50" s="23">
        <v>408.498094307538</v>
      </c>
      <c r="N50" s="19">
        <v>0.17014431953430181</v>
      </c>
      <c r="O50" s="23">
        <v>395.35356066210647</v>
      </c>
      <c r="P50" s="26">
        <v>0.166553258895874</v>
      </c>
    </row>
    <row r="51" spans="1:16" x14ac:dyDescent="0.3">
      <c r="A51" s="30" t="s">
        <v>52</v>
      </c>
      <c r="B51" s="3">
        <v>740</v>
      </c>
      <c r="C51" s="2">
        <v>670</v>
      </c>
      <c r="D51" s="19">
        <v>0.27165341377258301</v>
      </c>
      <c r="E51" s="2">
        <v>640</v>
      </c>
      <c r="F51" s="19">
        <v>0.29250717163085938</v>
      </c>
      <c r="G51" s="2">
        <v>680</v>
      </c>
      <c r="H51" s="19">
        <v>0.30784988403320313</v>
      </c>
      <c r="I51" s="14">
        <f t="shared" si="0"/>
        <v>8.1081081081081088</v>
      </c>
      <c r="J51" s="31"/>
      <c r="K51" s="25">
        <v>469.01369226985588</v>
      </c>
      <c r="L51" s="19">
        <v>0.19747114181518549</v>
      </c>
      <c r="M51" s="23">
        <v>459.31846304610212</v>
      </c>
      <c r="N51" s="19">
        <v>0.217418909072876</v>
      </c>
      <c r="O51" s="23">
        <v>441.68404446772422</v>
      </c>
      <c r="P51" s="26">
        <v>0.17553043365478521</v>
      </c>
    </row>
    <row r="52" spans="1:16" x14ac:dyDescent="0.3">
      <c r="A52" s="30" t="s">
        <v>53</v>
      </c>
      <c r="B52" s="3">
        <v>740</v>
      </c>
      <c r="C52" s="2">
        <v>680</v>
      </c>
      <c r="D52" s="19">
        <v>0.28478837013244629</v>
      </c>
      <c r="E52" s="2">
        <v>650</v>
      </c>
      <c r="F52" s="19">
        <v>0.46831893920898438</v>
      </c>
      <c r="G52" s="2">
        <v>650</v>
      </c>
      <c r="H52" s="19">
        <v>0.34566688537597662</v>
      </c>
      <c r="I52" s="14">
        <f t="shared" si="0"/>
        <v>8.1081081081081088</v>
      </c>
      <c r="J52" s="31"/>
      <c r="K52" s="25">
        <v>458.31638135192378</v>
      </c>
      <c r="L52" s="19">
        <v>0.1884963512420654</v>
      </c>
      <c r="M52" s="23">
        <v>452.3251473519411</v>
      </c>
      <c r="N52" s="19">
        <v>0.17453312873840329</v>
      </c>
      <c r="O52" s="23">
        <v>450.20013480871143</v>
      </c>
      <c r="P52" s="26">
        <v>0.168548583984375</v>
      </c>
    </row>
    <row r="53" spans="1:16" x14ac:dyDescent="0.3">
      <c r="A53" s="30" t="s">
        <v>54</v>
      </c>
      <c r="B53" s="3">
        <v>740</v>
      </c>
      <c r="C53" s="2">
        <v>670</v>
      </c>
      <c r="D53" s="19">
        <v>0.26761341094970698</v>
      </c>
      <c r="E53" s="2">
        <v>650</v>
      </c>
      <c r="F53" s="19">
        <v>0.33457112312316889</v>
      </c>
      <c r="G53" s="2">
        <v>680</v>
      </c>
      <c r="H53" s="19">
        <v>0.34442734718322748</v>
      </c>
      <c r="I53" s="14">
        <f t="shared" si="0"/>
        <v>8.1081081081081088</v>
      </c>
      <c r="J53" s="31"/>
      <c r="K53" s="25">
        <v>473.83212250904921</v>
      </c>
      <c r="L53" s="19">
        <v>0.2089684009552002</v>
      </c>
      <c r="M53" s="23">
        <v>445.34218477852471</v>
      </c>
      <c r="N53" s="19">
        <v>0.180516242980957</v>
      </c>
      <c r="O53" s="23">
        <v>444.90505092221349</v>
      </c>
      <c r="P53" s="26">
        <v>0.18450617790222171</v>
      </c>
    </row>
    <row r="54" spans="1:16" x14ac:dyDescent="0.3">
      <c r="A54" s="30" t="s">
        <v>55</v>
      </c>
      <c r="B54" s="3">
        <v>770</v>
      </c>
      <c r="C54" s="2">
        <v>740</v>
      </c>
      <c r="D54" s="19">
        <v>0.2493324279785156</v>
      </c>
      <c r="E54" s="2">
        <v>730</v>
      </c>
      <c r="F54" s="19">
        <v>0.30550527572631841</v>
      </c>
      <c r="G54" s="2">
        <v>700</v>
      </c>
      <c r="H54" s="19">
        <v>0.34483838081359858</v>
      </c>
      <c r="I54" s="14">
        <f t="shared" si="0"/>
        <v>3.8961038961038961</v>
      </c>
      <c r="J54" s="31"/>
      <c r="K54" s="25">
        <v>518.10303401200395</v>
      </c>
      <c r="L54" s="19">
        <v>0.23957610130310061</v>
      </c>
      <c r="M54" s="23">
        <v>508.80107278569739</v>
      </c>
      <c r="N54" s="19">
        <v>0.25348711013793951</v>
      </c>
      <c r="O54" s="23">
        <v>499.49878527922192</v>
      </c>
      <c r="P54" s="26">
        <v>0.1795196533203125</v>
      </c>
    </row>
    <row r="55" spans="1:16" x14ac:dyDescent="0.3">
      <c r="A55" s="30" t="s">
        <v>56</v>
      </c>
      <c r="B55" s="3">
        <v>770</v>
      </c>
      <c r="C55" s="2">
        <v>760</v>
      </c>
      <c r="D55" s="19">
        <v>0.25033044815063482</v>
      </c>
      <c r="E55" s="2">
        <v>700</v>
      </c>
      <c r="F55" s="19">
        <v>0.3246455192565918</v>
      </c>
      <c r="G55" s="2">
        <v>740</v>
      </c>
      <c r="H55" s="19">
        <v>0.34162735939025879</v>
      </c>
      <c r="I55" s="14">
        <f t="shared" si="0"/>
        <v>1.2987012987012987</v>
      </c>
      <c r="J55" s="31"/>
      <c r="K55" s="25">
        <v>483.01000942650512</v>
      </c>
      <c r="L55" s="19">
        <v>0.1924853324890137</v>
      </c>
      <c r="M55" s="23">
        <v>473.89431652894029</v>
      </c>
      <c r="N55" s="19">
        <v>0.17771196365356451</v>
      </c>
      <c r="O55" s="23">
        <v>473.92900262074397</v>
      </c>
      <c r="P55" s="26">
        <v>0.1795196533203125</v>
      </c>
    </row>
    <row r="56" spans="1:16" x14ac:dyDescent="0.3">
      <c r="A56" s="30" t="s">
        <v>57</v>
      </c>
      <c r="B56" s="3">
        <v>770</v>
      </c>
      <c r="C56" s="2">
        <v>760</v>
      </c>
      <c r="D56" s="19">
        <v>0.25236797332763672</v>
      </c>
      <c r="E56" s="2">
        <v>740</v>
      </c>
      <c r="F56" s="19">
        <v>0.33040142059326172</v>
      </c>
      <c r="G56" s="2">
        <v>740</v>
      </c>
      <c r="H56" s="19">
        <v>0.36701774597167969</v>
      </c>
      <c r="I56" s="14">
        <f t="shared" si="0"/>
        <v>1.2987012987012987</v>
      </c>
      <c r="J56" s="31"/>
      <c r="K56" s="25">
        <v>487.10730223188239</v>
      </c>
      <c r="L56" s="19">
        <v>0.19447994232177729</v>
      </c>
      <c r="M56" s="23">
        <v>459.60783815106498</v>
      </c>
      <c r="N56" s="19">
        <v>0.18051743507385251</v>
      </c>
      <c r="O56" s="23">
        <v>478.28738230744398</v>
      </c>
      <c r="P56" s="26">
        <v>0.1795189380645752</v>
      </c>
    </row>
    <row r="57" spans="1:16" x14ac:dyDescent="0.3">
      <c r="A57" s="30" t="s">
        <v>58</v>
      </c>
      <c r="B57" s="3">
        <v>770</v>
      </c>
      <c r="C57" s="2">
        <v>760</v>
      </c>
      <c r="D57" s="19">
        <v>0.26436758041381841</v>
      </c>
      <c r="E57" s="2">
        <v>740</v>
      </c>
      <c r="F57" s="19">
        <v>0.32999324798583979</v>
      </c>
      <c r="G57" s="2">
        <v>740</v>
      </c>
      <c r="H57" s="19">
        <v>0.39117836952209473</v>
      </c>
      <c r="I57" s="14">
        <f t="shared" si="0"/>
        <v>1.2987012987012987</v>
      </c>
      <c r="J57" s="31"/>
      <c r="K57" s="25">
        <v>502.60966769101611</v>
      </c>
      <c r="L57" s="19">
        <v>0.19348263740539551</v>
      </c>
      <c r="M57" s="23">
        <v>511.05128458344711</v>
      </c>
      <c r="N57" s="19">
        <v>0.17852139472961431</v>
      </c>
      <c r="O57" s="23">
        <v>475.69335411672029</v>
      </c>
      <c r="P57" s="26">
        <v>0.1795196533203125</v>
      </c>
    </row>
    <row r="58" spans="1:16" x14ac:dyDescent="0.3">
      <c r="A58" s="30" t="s">
        <v>59</v>
      </c>
      <c r="B58" s="3">
        <v>770</v>
      </c>
      <c r="C58" s="2">
        <v>760</v>
      </c>
      <c r="D58" s="19">
        <v>0.31116652488708502</v>
      </c>
      <c r="E58" s="2">
        <v>740</v>
      </c>
      <c r="F58" s="19">
        <v>0.32700157165527338</v>
      </c>
      <c r="G58" s="2">
        <v>730</v>
      </c>
      <c r="H58" s="19">
        <v>0.39399480819702148</v>
      </c>
      <c r="I58" s="14">
        <f t="shared" si="0"/>
        <v>1.2987012987012987</v>
      </c>
      <c r="J58" s="31"/>
      <c r="K58" s="25">
        <v>479.44468551736747</v>
      </c>
      <c r="L58" s="19">
        <v>0.2049715518951416</v>
      </c>
      <c r="M58" s="23">
        <v>443.86599514327281</v>
      </c>
      <c r="N58" s="19">
        <v>0.18650150299072271</v>
      </c>
      <c r="O58" s="23">
        <v>461.68013134853948</v>
      </c>
      <c r="P58" s="26">
        <v>0.18749761581420901</v>
      </c>
    </row>
    <row r="59" spans="1:16" x14ac:dyDescent="0.3">
      <c r="A59" s="30" t="s">
        <v>60</v>
      </c>
      <c r="B59" s="3">
        <v>790</v>
      </c>
      <c r="C59" s="2">
        <v>740</v>
      </c>
      <c r="D59" s="19">
        <v>0.24135446548461911</v>
      </c>
      <c r="E59" s="2">
        <v>720</v>
      </c>
      <c r="F59" s="19">
        <v>0.30368685722351069</v>
      </c>
      <c r="G59" s="2">
        <v>720</v>
      </c>
      <c r="H59" s="19">
        <v>0.37042236328125</v>
      </c>
      <c r="I59" s="14">
        <f t="shared" si="0"/>
        <v>6.3291139240506329</v>
      </c>
      <c r="J59" s="31"/>
      <c r="K59" s="25">
        <v>521.21788019384007</v>
      </c>
      <c r="L59" s="19">
        <v>0.19351720809936521</v>
      </c>
      <c r="M59" s="23">
        <v>511.21981277637911</v>
      </c>
      <c r="N59" s="19">
        <v>0.18404555320739749</v>
      </c>
      <c r="O59" s="23">
        <v>511.56780312577001</v>
      </c>
      <c r="P59" s="26">
        <v>0.17752623558044431</v>
      </c>
    </row>
    <row r="60" spans="1:16" x14ac:dyDescent="0.3">
      <c r="A60" s="30" t="s">
        <v>61</v>
      </c>
      <c r="B60" s="3">
        <v>790</v>
      </c>
      <c r="C60" s="2">
        <v>760</v>
      </c>
      <c r="D60" s="19">
        <v>0.28102231025695801</v>
      </c>
      <c r="E60" s="2">
        <v>720</v>
      </c>
      <c r="F60" s="19">
        <v>0.3162987232208252</v>
      </c>
      <c r="G60" s="2">
        <v>760</v>
      </c>
      <c r="H60" s="19">
        <v>0.47196125984191889</v>
      </c>
      <c r="I60" s="14">
        <f t="shared" si="0"/>
        <v>3.79746835443038</v>
      </c>
      <c r="J60" s="31"/>
      <c r="K60" s="25">
        <v>503.43815623999961</v>
      </c>
      <c r="L60" s="19">
        <v>0.19447946548461911</v>
      </c>
      <c r="M60" s="23">
        <v>467.48833472299509</v>
      </c>
      <c r="N60" s="19">
        <v>0.1865429878234863</v>
      </c>
      <c r="O60" s="23">
        <v>503.43815623999961</v>
      </c>
      <c r="P60" s="26">
        <v>0.18251132965087891</v>
      </c>
    </row>
    <row r="61" spans="1:16" x14ac:dyDescent="0.3">
      <c r="A61" s="30" t="s">
        <v>62</v>
      </c>
      <c r="B61" s="3">
        <v>790</v>
      </c>
      <c r="C61" s="2">
        <v>760</v>
      </c>
      <c r="D61" s="19">
        <v>0.27925300598144531</v>
      </c>
      <c r="E61" s="2">
        <v>760</v>
      </c>
      <c r="F61" s="19">
        <v>0.33607721328735352</v>
      </c>
      <c r="G61" s="2">
        <v>760</v>
      </c>
      <c r="H61" s="19">
        <v>0.27432084083557129</v>
      </c>
      <c r="I61" s="14">
        <f t="shared" si="0"/>
        <v>3.79746835443038</v>
      </c>
      <c r="J61" s="31"/>
      <c r="K61" s="25">
        <v>504.74129189335088</v>
      </c>
      <c r="L61" s="19">
        <v>0.19647431373596189</v>
      </c>
      <c r="M61" s="23">
        <v>504.66103952103379</v>
      </c>
      <c r="N61" s="19">
        <v>0.18949222564697271</v>
      </c>
      <c r="O61" s="23">
        <v>531.89469820731642</v>
      </c>
      <c r="P61" s="26">
        <v>0.19148755073547361</v>
      </c>
    </row>
    <row r="62" spans="1:16" x14ac:dyDescent="0.3">
      <c r="A62" s="30" t="s">
        <v>63</v>
      </c>
      <c r="B62" s="3">
        <v>790</v>
      </c>
      <c r="C62" s="2">
        <v>760</v>
      </c>
      <c r="D62" s="19">
        <v>0.26180148124694819</v>
      </c>
      <c r="E62" s="2">
        <v>760</v>
      </c>
      <c r="F62" s="19">
        <v>0.34569048881530762</v>
      </c>
      <c r="G62" s="2">
        <v>760</v>
      </c>
      <c r="H62" s="19">
        <v>0.26304721832275391</v>
      </c>
      <c r="I62" s="14">
        <f t="shared" si="0"/>
        <v>3.79746835443038</v>
      </c>
      <c r="J62" s="31"/>
      <c r="K62" s="25">
        <v>503.62698237030128</v>
      </c>
      <c r="L62" s="19">
        <v>0.21542477607727051</v>
      </c>
      <c r="M62" s="23">
        <v>493.784487847229</v>
      </c>
      <c r="N62" s="19">
        <v>0.18251204490661621</v>
      </c>
      <c r="O62" s="23">
        <v>476.16447579323278</v>
      </c>
      <c r="P62" s="26">
        <v>0.1825108528137207</v>
      </c>
    </row>
    <row r="63" spans="1:16" x14ac:dyDescent="0.3">
      <c r="A63" s="30" t="s">
        <v>64</v>
      </c>
      <c r="B63" s="3">
        <v>790</v>
      </c>
      <c r="C63" s="2">
        <v>760</v>
      </c>
      <c r="D63" s="19">
        <v>0.24015474319458011</v>
      </c>
      <c r="E63" s="2">
        <v>760</v>
      </c>
      <c r="F63" s="19">
        <v>0.34901690483093262</v>
      </c>
      <c r="G63" s="2">
        <v>760</v>
      </c>
      <c r="H63" s="19">
        <v>0.22140741348266599</v>
      </c>
      <c r="I63" s="14">
        <f t="shared" si="0"/>
        <v>3.79746835443038</v>
      </c>
      <c r="J63" s="31"/>
      <c r="K63" s="25">
        <v>504.90149545629077</v>
      </c>
      <c r="L63" s="19">
        <v>0.20748662948608401</v>
      </c>
      <c r="M63" s="23">
        <v>495.23046116198623</v>
      </c>
      <c r="N63" s="19">
        <v>0.21442604064941409</v>
      </c>
      <c r="O63" s="23">
        <v>513.48803721529032</v>
      </c>
      <c r="P63" s="26">
        <v>0.1954758167266846</v>
      </c>
    </row>
    <row r="64" spans="1:16" x14ac:dyDescent="0.3">
      <c r="A64" s="30" t="s">
        <v>65</v>
      </c>
      <c r="B64" s="3">
        <v>800</v>
      </c>
      <c r="C64" s="2">
        <v>790</v>
      </c>
      <c r="D64" s="19">
        <v>0.240588903427124</v>
      </c>
      <c r="E64" s="2">
        <v>760</v>
      </c>
      <c r="F64" s="19">
        <v>0.32947754859924322</v>
      </c>
      <c r="G64" s="2">
        <v>740</v>
      </c>
      <c r="H64" s="19">
        <v>0.20626044273376459</v>
      </c>
      <c r="I64" s="14">
        <f t="shared" si="0"/>
        <v>1.25</v>
      </c>
      <c r="J64" s="31"/>
      <c r="K64" s="25">
        <v>551.55432524494609</v>
      </c>
      <c r="L64" s="19">
        <v>0.20348858833312991</v>
      </c>
      <c r="M64" s="23">
        <v>537.16412293538133</v>
      </c>
      <c r="N64" s="19">
        <v>0.2044529914855957</v>
      </c>
      <c r="O64" s="23">
        <v>497.58836245040152</v>
      </c>
      <c r="P64" s="26">
        <v>0.18051648139953611</v>
      </c>
    </row>
    <row r="65" spans="1:16" x14ac:dyDescent="0.3">
      <c r="A65" s="30" t="s">
        <v>66</v>
      </c>
      <c r="B65" s="3">
        <v>800</v>
      </c>
      <c r="C65" s="2">
        <v>750</v>
      </c>
      <c r="D65" s="19">
        <v>0.26947712898254389</v>
      </c>
      <c r="E65" s="2">
        <v>740</v>
      </c>
      <c r="F65" s="19">
        <v>0.33232307434082031</v>
      </c>
      <c r="G65" s="2">
        <v>750</v>
      </c>
      <c r="H65" s="19">
        <v>0.2034561634063721</v>
      </c>
      <c r="I65" s="14">
        <f t="shared" si="0"/>
        <v>6.25</v>
      </c>
      <c r="J65" s="31"/>
      <c r="K65" s="25">
        <v>555.30261927626668</v>
      </c>
      <c r="L65" s="19">
        <v>0.20146059989929199</v>
      </c>
      <c r="M65" s="23">
        <v>517.48696461329087</v>
      </c>
      <c r="N65" s="19">
        <v>0.19515299797058111</v>
      </c>
      <c r="O65" s="23">
        <v>498.91354935647178</v>
      </c>
      <c r="P65" s="26">
        <v>0.180516242980957</v>
      </c>
    </row>
    <row r="66" spans="1:16" x14ac:dyDescent="0.3">
      <c r="A66" s="30" t="s">
        <v>67</v>
      </c>
      <c r="B66" s="3">
        <v>800</v>
      </c>
      <c r="C66" s="2">
        <v>770</v>
      </c>
      <c r="D66" s="19">
        <v>0.24045705795288089</v>
      </c>
      <c r="E66" s="2">
        <v>770</v>
      </c>
      <c r="F66" s="19">
        <v>0.31781935691833502</v>
      </c>
      <c r="G66" s="2">
        <v>770</v>
      </c>
      <c r="H66" s="19">
        <v>0.22981047630310061</v>
      </c>
      <c r="I66" s="14">
        <f t="shared" si="0"/>
        <v>3.75</v>
      </c>
      <c r="J66" s="31"/>
      <c r="K66" s="25">
        <v>530.15074101083178</v>
      </c>
      <c r="L66" s="19">
        <v>0.21143436431884771</v>
      </c>
      <c r="M66" s="23">
        <v>503.16019869810663</v>
      </c>
      <c r="N66" s="19">
        <v>0.22539615631103521</v>
      </c>
      <c r="O66" s="23">
        <v>502.63162482445551</v>
      </c>
      <c r="P66" s="26">
        <v>0.18849492073059079</v>
      </c>
    </row>
    <row r="67" spans="1:16" x14ac:dyDescent="0.3">
      <c r="A67" s="30" t="s">
        <v>68</v>
      </c>
      <c r="B67" s="3">
        <v>800</v>
      </c>
      <c r="C67" s="2">
        <v>750</v>
      </c>
      <c r="D67" s="19">
        <v>0.26585245132446289</v>
      </c>
      <c r="E67" s="2">
        <v>750</v>
      </c>
      <c r="F67" s="19">
        <v>0.24517226219177249</v>
      </c>
      <c r="G67" s="2">
        <v>750</v>
      </c>
      <c r="H67" s="19">
        <v>0.21642065048217771</v>
      </c>
      <c r="I67" s="14">
        <f t="shared" si="0"/>
        <v>6.25</v>
      </c>
      <c r="J67" s="31"/>
      <c r="K67" s="25">
        <v>537.35137234747219</v>
      </c>
      <c r="L67" s="19">
        <v>0.20345520973205569</v>
      </c>
      <c r="M67" s="23">
        <v>483.02061577483721</v>
      </c>
      <c r="N67" s="19">
        <v>0.18550395965576169</v>
      </c>
      <c r="O67" s="23">
        <v>509.57335284705749</v>
      </c>
      <c r="P67" s="26">
        <v>0.1884958744049072</v>
      </c>
    </row>
    <row r="68" spans="1:16" x14ac:dyDescent="0.3">
      <c r="A68" s="30" t="s">
        <v>69</v>
      </c>
      <c r="B68" s="3">
        <v>800</v>
      </c>
      <c r="C68" s="2">
        <v>770</v>
      </c>
      <c r="D68" s="19">
        <v>0.25535964965820313</v>
      </c>
      <c r="E68" s="2">
        <v>780</v>
      </c>
      <c r="F68" s="19">
        <v>0.25639581680297852</v>
      </c>
      <c r="G68" s="2">
        <v>760</v>
      </c>
      <c r="H68" s="19">
        <v>0.2243995666503906</v>
      </c>
      <c r="I68" s="14">
        <f t="shared" ref="I68:I131" si="1">((B68-MAX(C68,E68,G68))/B68)*100</f>
        <v>2.5</v>
      </c>
      <c r="J68" s="31"/>
      <c r="K68" s="25">
        <v>511.06752778215412</v>
      </c>
      <c r="L68" s="19">
        <v>0.21601247787475589</v>
      </c>
      <c r="M68" s="23">
        <v>492.71501674893148</v>
      </c>
      <c r="N68" s="19">
        <v>0.22739171981811521</v>
      </c>
      <c r="O68" s="23">
        <v>501.66869899339002</v>
      </c>
      <c r="P68" s="26">
        <v>0.20046401023864749</v>
      </c>
    </row>
    <row r="69" spans="1:16" x14ac:dyDescent="0.3">
      <c r="A69" s="30" t="s">
        <v>70</v>
      </c>
      <c r="B69" s="3">
        <v>800</v>
      </c>
      <c r="C69" s="2">
        <v>750</v>
      </c>
      <c r="D69" s="19">
        <v>0.23773765563964841</v>
      </c>
      <c r="E69" s="2">
        <v>740</v>
      </c>
      <c r="F69" s="19">
        <v>0.23209166526794431</v>
      </c>
      <c r="G69" s="2">
        <v>720</v>
      </c>
      <c r="H69" s="19">
        <v>0.20885634422302249</v>
      </c>
      <c r="I69" s="14">
        <f t="shared" si="1"/>
        <v>6.25</v>
      </c>
      <c r="J69" s="31"/>
      <c r="K69" s="25">
        <v>569.42583656299371</v>
      </c>
      <c r="L69" s="19">
        <v>0.2044527530670166</v>
      </c>
      <c r="M69" s="23">
        <v>524.01541891140107</v>
      </c>
      <c r="N69" s="19">
        <v>0.19002532958984381</v>
      </c>
      <c r="O69" s="23">
        <v>543.39798388866825</v>
      </c>
      <c r="P69" s="26">
        <v>0.19048953056335449</v>
      </c>
    </row>
    <row r="70" spans="1:16" x14ac:dyDescent="0.3">
      <c r="A70" s="30" t="s">
        <v>71</v>
      </c>
      <c r="B70" s="3">
        <v>800</v>
      </c>
      <c r="C70" s="2">
        <v>750</v>
      </c>
      <c r="D70" s="19">
        <v>0.29781460762023931</v>
      </c>
      <c r="E70" s="2">
        <v>740</v>
      </c>
      <c r="F70" s="19">
        <v>0.23977327346801761</v>
      </c>
      <c r="G70" s="2">
        <v>760</v>
      </c>
      <c r="H70" s="19">
        <v>0.20545005798339841</v>
      </c>
      <c r="I70" s="14">
        <f t="shared" si="1"/>
        <v>5</v>
      </c>
      <c r="J70" s="31"/>
      <c r="K70" s="25">
        <v>523.02279934212152</v>
      </c>
      <c r="L70" s="19">
        <v>0.19747090339660639</v>
      </c>
      <c r="M70" s="23">
        <v>522.29224549467142</v>
      </c>
      <c r="N70" s="19">
        <v>0.19053125381469729</v>
      </c>
      <c r="O70" s="23">
        <v>503.60199683890443</v>
      </c>
      <c r="P70" s="26">
        <v>0.18749833106994629</v>
      </c>
    </row>
    <row r="71" spans="1:16" x14ac:dyDescent="0.3">
      <c r="A71" s="30" t="s">
        <v>72</v>
      </c>
      <c r="B71" s="3">
        <v>800</v>
      </c>
      <c r="C71" s="2">
        <v>760</v>
      </c>
      <c r="D71" s="19">
        <v>0.25171065330505371</v>
      </c>
      <c r="E71" s="2">
        <v>730</v>
      </c>
      <c r="F71" s="19">
        <v>0.24500870704650879</v>
      </c>
      <c r="G71" s="2">
        <v>740</v>
      </c>
      <c r="H71" s="19">
        <v>0.2134289741516113</v>
      </c>
      <c r="I71" s="14">
        <f t="shared" si="1"/>
        <v>5</v>
      </c>
      <c r="J71" s="31"/>
      <c r="K71" s="25">
        <v>535.31749236526935</v>
      </c>
      <c r="L71" s="19">
        <v>0.2134284973144531</v>
      </c>
      <c r="M71" s="23">
        <v>497.91695392182118</v>
      </c>
      <c r="N71" s="19">
        <v>0.22240447998046881</v>
      </c>
      <c r="O71" s="23">
        <v>487.94897957532442</v>
      </c>
      <c r="P71" s="26">
        <v>0.1934819221496582</v>
      </c>
    </row>
    <row r="72" spans="1:16" x14ac:dyDescent="0.3">
      <c r="A72" s="30" t="s">
        <v>73</v>
      </c>
      <c r="B72" s="3">
        <v>800</v>
      </c>
      <c r="C72" s="2">
        <v>760</v>
      </c>
      <c r="D72" s="19">
        <v>0.40073847770690918</v>
      </c>
      <c r="E72" s="2">
        <v>740</v>
      </c>
      <c r="F72" s="19">
        <v>0.23227262496948239</v>
      </c>
      <c r="G72" s="2">
        <v>760</v>
      </c>
      <c r="H72" s="19">
        <v>0.2134287357330322</v>
      </c>
      <c r="I72" s="14">
        <f t="shared" si="1"/>
        <v>5</v>
      </c>
      <c r="J72" s="31"/>
      <c r="K72" s="25">
        <v>569.15798564278452</v>
      </c>
      <c r="L72" s="19">
        <v>0.21043682098388669</v>
      </c>
      <c r="M72" s="23">
        <v>533.54437074137809</v>
      </c>
      <c r="N72" s="19">
        <v>0.2174177169799805</v>
      </c>
      <c r="O72" s="23">
        <v>514.00632071438315</v>
      </c>
      <c r="P72" s="26">
        <v>0.1914870738983154</v>
      </c>
    </row>
    <row r="73" spans="1:16" x14ac:dyDescent="0.3">
      <c r="A73" s="30" t="s">
        <v>74</v>
      </c>
      <c r="B73" s="3">
        <v>800</v>
      </c>
      <c r="C73" s="2">
        <v>780</v>
      </c>
      <c r="D73" s="19">
        <v>0.44315218925476069</v>
      </c>
      <c r="E73" s="2">
        <v>740</v>
      </c>
      <c r="F73" s="19">
        <v>0.26167011260986328</v>
      </c>
      <c r="G73" s="2">
        <v>750</v>
      </c>
      <c r="H73" s="19">
        <v>0.21732854843139651</v>
      </c>
      <c r="I73" s="14">
        <f t="shared" si="1"/>
        <v>2.5</v>
      </c>
      <c r="J73" s="31"/>
      <c r="K73" s="25">
        <v>507.54067759163229</v>
      </c>
      <c r="L73" s="19">
        <v>0.21705436706542969</v>
      </c>
      <c r="M73" s="23">
        <v>489.62380078086761</v>
      </c>
      <c r="N73" s="19">
        <v>0.21642136573791501</v>
      </c>
      <c r="O73" s="23">
        <v>497.64501195026332</v>
      </c>
      <c r="P73" s="26">
        <v>0.20844197273254389</v>
      </c>
    </row>
    <row r="74" spans="1:16" x14ac:dyDescent="0.3">
      <c r="A74" s="30" t="s">
        <v>75</v>
      </c>
      <c r="B74" s="3">
        <v>816</v>
      </c>
      <c r="C74" s="2">
        <v>750</v>
      </c>
      <c r="D74" s="19">
        <v>0.64115309715270996</v>
      </c>
      <c r="E74" s="2">
        <v>792</v>
      </c>
      <c r="F74" s="19">
        <v>0.36455631256103521</v>
      </c>
      <c r="G74" s="2">
        <v>762</v>
      </c>
      <c r="H74" s="19">
        <v>0.29022359848022461</v>
      </c>
      <c r="I74" s="14">
        <f t="shared" si="1"/>
        <v>2.9411764705882351</v>
      </c>
      <c r="J74" s="31"/>
      <c r="K74" s="25">
        <v>679.03822745985849</v>
      </c>
      <c r="L74" s="19">
        <v>0.29321551322937012</v>
      </c>
      <c r="M74" s="23">
        <v>661.74643739035616</v>
      </c>
      <c r="N74" s="19">
        <v>0.28181338310241699</v>
      </c>
      <c r="O74" s="23">
        <v>645.05703213411505</v>
      </c>
      <c r="P74" s="26">
        <v>0.28025031089782709</v>
      </c>
    </row>
    <row r="75" spans="1:16" x14ac:dyDescent="0.3">
      <c r="A75" s="30" t="s">
        <v>76</v>
      </c>
      <c r="B75" s="3">
        <v>816</v>
      </c>
      <c r="C75" s="2">
        <v>750</v>
      </c>
      <c r="D75" s="19">
        <v>0.4059455394744873</v>
      </c>
      <c r="E75" s="2">
        <v>750</v>
      </c>
      <c r="F75" s="19">
        <v>0.35577774047851563</v>
      </c>
      <c r="G75" s="2">
        <v>702</v>
      </c>
      <c r="H75" s="19">
        <v>0.27725863456726069</v>
      </c>
      <c r="I75" s="14">
        <f t="shared" si="1"/>
        <v>8.0882352941176467</v>
      </c>
      <c r="J75" s="31"/>
      <c r="K75" s="25">
        <v>642.31797286221433</v>
      </c>
      <c r="L75" s="19">
        <v>0.29022431373596191</v>
      </c>
      <c r="M75" s="23">
        <v>648.99218690895805</v>
      </c>
      <c r="N75" s="19">
        <v>0.33510255813598627</v>
      </c>
      <c r="O75" s="23">
        <v>650.25987320987474</v>
      </c>
      <c r="P75" s="26">
        <v>0.27725768089294428</v>
      </c>
    </row>
    <row r="76" spans="1:16" x14ac:dyDescent="0.3">
      <c r="A76" s="30" t="s">
        <v>77</v>
      </c>
      <c r="B76" s="3">
        <v>816</v>
      </c>
      <c r="C76" s="2">
        <v>642</v>
      </c>
      <c r="D76" s="19">
        <v>0.42137813568115229</v>
      </c>
      <c r="E76" s="2">
        <v>740</v>
      </c>
      <c r="F76" s="19">
        <v>0.31449294090271002</v>
      </c>
      <c r="G76" s="2">
        <v>630</v>
      </c>
      <c r="H76" s="19">
        <v>0.28480243682861328</v>
      </c>
      <c r="I76" s="14">
        <f t="shared" si="1"/>
        <v>9.3137254901960791</v>
      </c>
      <c r="J76" s="31"/>
      <c r="K76" s="25">
        <v>557.7705197344568</v>
      </c>
      <c r="L76" s="19">
        <v>0.28276729583740229</v>
      </c>
      <c r="M76" s="23">
        <v>546.5334255155791</v>
      </c>
      <c r="N76" s="19">
        <v>0.3231358528137207</v>
      </c>
      <c r="O76" s="23">
        <v>535.97554988848515</v>
      </c>
      <c r="P76" s="26">
        <v>0.28025031089782709</v>
      </c>
    </row>
    <row r="77" spans="1:16" x14ac:dyDescent="0.3">
      <c r="A77" s="30" t="s">
        <v>78</v>
      </c>
      <c r="B77" s="3">
        <v>816</v>
      </c>
      <c r="C77" s="2">
        <v>708</v>
      </c>
      <c r="D77" s="19">
        <v>0.45653319358825678</v>
      </c>
      <c r="E77" s="2">
        <v>732</v>
      </c>
      <c r="F77" s="19">
        <v>0.36761856079101563</v>
      </c>
      <c r="G77" s="2">
        <v>738</v>
      </c>
      <c r="H77" s="19">
        <v>0.30630326271057129</v>
      </c>
      <c r="I77" s="14">
        <f t="shared" si="1"/>
        <v>9.5588235294117645</v>
      </c>
      <c r="J77" s="31"/>
      <c r="K77" s="25">
        <v>645.63995675436593</v>
      </c>
      <c r="L77" s="19">
        <v>0.3094475269317627</v>
      </c>
      <c r="M77" s="23">
        <v>649.01175116985598</v>
      </c>
      <c r="N77" s="19">
        <v>0.36165165901184082</v>
      </c>
      <c r="O77" s="23">
        <v>655.0225597371317</v>
      </c>
      <c r="P77" s="26">
        <v>0.30817556381225591</v>
      </c>
    </row>
    <row r="78" spans="1:16" x14ac:dyDescent="0.3">
      <c r="A78" s="30" t="s">
        <v>79</v>
      </c>
      <c r="B78" s="3">
        <v>816</v>
      </c>
      <c r="C78" s="2">
        <v>684</v>
      </c>
      <c r="D78" s="19">
        <v>0.45194435119628912</v>
      </c>
      <c r="E78" s="2">
        <v>740</v>
      </c>
      <c r="F78" s="19">
        <v>0.34478998184204102</v>
      </c>
      <c r="G78" s="2">
        <v>714</v>
      </c>
      <c r="H78" s="19">
        <v>0.31715178489685059</v>
      </c>
      <c r="I78" s="14">
        <f t="shared" si="1"/>
        <v>9.3137254901960791</v>
      </c>
      <c r="J78" s="31"/>
      <c r="K78" s="25">
        <v>513.82375028273714</v>
      </c>
      <c r="L78" s="19">
        <v>0.29919934272766108</v>
      </c>
      <c r="M78" s="23">
        <v>577.15799370633727</v>
      </c>
      <c r="N78" s="19">
        <v>0.36103439331054688</v>
      </c>
      <c r="O78" s="23">
        <v>563.64989906648339</v>
      </c>
      <c r="P78" s="26">
        <v>0.29919886589050287</v>
      </c>
    </row>
    <row r="79" spans="1:16" x14ac:dyDescent="0.3">
      <c r="A79" s="30" t="s">
        <v>80</v>
      </c>
      <c r="B79" s="3">
        <v>900</v>
      </c>
      <c r="C79" s="2">
        <v>852</v>
      </c>
      <c r="D79" s="19">
        <v>0.43282151222228998</v>
      </c>
      <c r="E79" s="2">
        <v>858</v>
      </c>
      <c r="F79" s="19">
        <v>0.3322756290435791</v>
      </c>
      <c r="G79" s="2">
        <v>828</v>
      </c>
      <c r="H79" s="19">
        <v>0.29022336006164551</v>
      </c>
      <c r="I79" s="14">
        <f t="shared" si="1"/>
        <v>4.666666666666667</v>
      </c>
      <c r="J79" s="31"/>
      <c r="K79" s="25">
        <v>706.96780562600532</v>
      </c>
      <c r="L79" s="19">
        <v>0.30670571327209473</v>
      </c>
      <c r="M79" s="23">
        <v>709.65733305841638</v>
      </c>
      <c r="N79" s="19">
        <v>0.34607434272766108</v>
      </c>
      <c r="O79" s="23">
        <v>705.98560559764621</v>
      </c>
      <c r="P79" s="26">
        <v>0.29521083831787109</v>
      </c>
    </row>
    <row r="80" spans="1:16" x14ac:dyDescent="0.3">
      <c r="A80" s="30" t="s">
        <v>81</v>
      </c>
      <c r="B80" s="3">
        <v>900</v>
      </c>
      <c r="C80" s="2">
        <v>804</v>
      </c>
      <c r="D80" s="19">
        <v>0.55583453178405762</v>
      </c>
      <c r="E80" s="2">
        <v>828</v>
      </c>
      <c r="F80" s="19">
        <v>0.37365913391113281</v>
      </c>
      <c r="G80" s="2">
        <v>828</v>
      </c>
      <c r="H80" s="19">
        <v>0.29773998260498052</v>
      </c>
      <c r="I80" s="14">
        <f t="shared" si="1"/>
        <v>8</v>
      </c>
      <c r="J80" s="31"/>
      <c r="K80" s="25">
        <v>673.66609610001774</v>
      </c>
      <c r="L80" s="19">
        <v>0.29926729202270508</v>
      </c>
      <c r="M80" s="23">
        <v>698.34365451849271</v>
      </c>
      <c r="N80" s="19">
        <v>0.29382205009460449</v>
      </c>
      <c r="O80" s="23">
        <v>652.19135141598554</v>
      </c>
      <c r="P80" s="26">
        <v>0.28224468231201172</v>
      </c>
    </row>
    <row r="81" spans="1:16" x14ac:dyDescent="0.3">
      <c r="A81" s="30" t="s">
        <v>82</v>
      </c>
      <c r="B81" s="3">
        <v>900</v>
      </c>
      <c r="C81" s="2">
        <v>762</v>
      </c>
      <c r="D81" s="19">
        <v>0.62293839454650879</v>
      </c>
      <c r="E81" s="2">
        <v>828</v>
      </c>
      <c r="F81" s="19">
        <v>0.4194338321685791</v>
      </c>
      <c r="G81" s="2">
        <v>798</v>
      </c>
      <c r="H81" s="19">
        <v>0.30219221115112299</v>
      </c>
      <c r="I81" s="14">
        <f t="shared" si="1"/>
        <v>8</v>
      </c>
      <c r="J81" s="31"/>
      <c r="K81" s="25">
        <v>656.63545305739535</v>
      </c>
      <c r="L81" s="19">
        <v>0.30817532539367681</v>
      </c>
      <c r="M81" s="23">
        <v>641.11742238004251</v>
      </c>
      <c r="N81" s="19">
        <v>0.34507632255554199</v>
      </c>
      <c r="O81" s="23">
        <v>671.95741445170142</v>
      </c>
      <c r="P81" s="26">
        <v>0.29919910430908198</v>
      </c>
    </row>
    <row r="82" spans="1:16" x14ac:dyDescent="0.3">
      <c r="A82" s="30" t="s">
        <v>83</v>
      </c>
      <c r="B82" s="3">
        <v>900</v>
      </c>
      <c r="C82" s="2">
        <v>816</v>
      </c>
      <c r="D82" s="19">
        <v>0.72774720191955566</v>
      </c>
      <c r="E82" s="2">
        <v>828</v>
      </c>
      <c r="F82" s="19">
        <v>0.39123368263244629</v>
      </c>
      <c r="G82" s="2">
        <v>804</v>
      </c>
      <c r="H82" s="19">
        <v>0.31715154647827148</v>
      </c>
      <c r="I82" s="14">
        <f t="shared" si="1"/>
        <v>8</v>
      </c>
      <c r="J82" s="31"/>
      <c r="K82" s="25">
        <v>677.1528190310205</v>
      </c>
      <c r="L82" s="19">
        <v>0.3231353759765625</v>
      </c>
      <c r="M82" s="23">
        <v>704.10002882746551</v>
      </c>
      <c r="N82" s="19">
        <v>0.3121638298034668</v>
      </c>
      <c r="O82" s="23">
        <v>667.67263057864386</v>
      </c>
      <c r="P82" s="26">
        <v>0.31415915489196777</v>
      </c>
    </row>
    <row r="83" spans="1:16" x14ac:dyDescent="0.3">
      <c r="A83" s="30" t="s">
        <v>84</v>
      </c>
      <c r="B83" s="3">
        <v>900</v>
      </c>
      <c r="C83" s="2">
        <v>798</v>
      </c>
      <c r="D83" s="19">
        <v>0.37909555435180659</v>
      </c>
      <c r="E83" s="2">
        <v>834</v>
      </c>
      <c r="F83" s="19">
        <v>0.40365862846374512</v>
      </c>
      <c r="G83" s="2">
        <v>804</v>
      </c>
      <c r="H83" s="19">
        <v>0.33223152160644531</v>
      </c>
      <c r="I83" s="14">
        <f t="shared" si="1"/>
        <v>7.333333333333333</v>
      </c>
      <c r="J83" s="31"/>
      <c r="K83" s="25">
        <v>691.83462975587327</v>
      </c>
      <c r="L83" s="19">
        <v>0.33766961097717291</v>
      </c>
      <c r="M83" s="23">
        <v>683.27998152559894</v>
      </c>
      <c r="N83" s="19">
        <v>0.33183145523071289</v>
      </c>
      <c r="O83" s="23">
        <v>683.66855610830874</v>
      </c>
      <c r="P83" s="26">
        <v>0.32612752914428711</v>
      </c>
    </row>
    <row r="84" spans="1:16" x14ac:dyDescent="0.3">
      <c r="A84" s="30" t="s">
        <v>85</v>
      </c>
      <c r="B84" s="3">
        <v>984</v>
      </c>
      <c r="C84" s="2">
        <v>948</v>
      </c>
      <c r="D84" s="19">
        <v>0.33735418319702148</v>
      </c>
      <c r="E84" s="2">
        <v>954</v>
      </c>
      <c r="F84" s="19">
        <v>0.35163974761962891</v>
      </c>
      <c r="G84" s="2">
        <v>936</v>
      </c>
      <c r="H84" s="19">
        <v>0.31715178489685059</v>
      </c>
      <c r="I84" s="14">
        <f t="shared" si="1"/>
        <v>3.0487804878048781</v>
      </c>
      <c r="J84" s="31"/>
      <c r="K84" s="25">
        <v>799.5019070808853</v>
      </c>
      <c r="L84" s="19">
        <v>0.38895964622497559</v>
      </c>
      <c r="M84" s="23">
        <v>814.6923498680128</v>
      </c>
      <c r="N84" s="19">
        <v>0.31615447998046881</v>
      </c>
      <c r="O84" s="23">
        <v>793.50954956638043</v>
      </c>
      <c r="P84" s="26">
        <v>0.32213807106018072</v>
      </c>
    </row>
    <row r="85" spans="1:16" x14ac:dyDescent="0.3">
      <c r="A85" s="30" t="s">
        <v>86</v>
      </c>
      <c r="B85" s="3">
        <v>984</v>
      </c>
      <c r="C85" s="2">
        <v>930</v>
      </c>
      <c r="D85" s="19">
        <v>0.34308242797851563</v>
      </c>
      <c r="E85" s="2">
        <v>954</v>
      </c>
      <c r="F85" s="19">
        <v>0.37974643707275391</v>
      </c>
      <c r="G85" s="2">
        <v>942</v>
      </c>
      <c r="H85" s="19">
        <v>0.38297533988952642</v>
      </c>
      <c r="I85" s="14">
        <f t="shared" si="1"/>
        <v>3.0487804878048781</v>
      </c>
      <c r="J85" s="31"/>
      <c r="K85" s="25">
        <v>805.38373458753938</v>
      </c>
      <c r="L85" s="19">
        <v>0.33962035179138178</v>
      </c>
      <c r="M85" s="23">
        <v>833.19110675391948</v>
      </c>
      <c r="N85" s="19">
        <v>0.33896899223327642</v>
      </c>
      <c r="O85" s="23">
        <v>773.47467299317543</v>
      </c>
      <c r="P85" s="26">
        <v>0.38297533988952642</v>
      </c>
    </row>
    <row r="86" spans="1:16" x14ac:dyDescent="0.3">
      <c r="A86" s="30" t="s">
        <v>87</v>
      </c>
      <c r="B86" s="3">
        <v>984</v>
      </c>
      <c r="C86" s="2">
        <v>888</v>
      </c>
      <c r="D86" s="19">
        <v>0.38616394996643072</v>
      </c>
      <c r="E86" s="2">
        <v>954</v>
      </c>
      <c r="F86" s="19">
        <v>0.36874198913574219</v>
      </c>
      <c r="G86" s="2">
        <v>882</v>
      </c>
      <c r="H86" s="19">
        <v>0.33211112022399902</v>
      </c>
      <c r="I86" s="14">
        <f t="shared" si="1"/>
        <v>3.0487804878048781</v>
      </c>
      <c r="J86" s="31"/>
      <c r="K86" s="25">
        <v>768.61722197406345</v>
      </c>
      <c r="L86" s="19">
        <v>0.33122062683105469</v>
      </c>
      <c r="M86" s="23">
        <v>776.32893166255042</v>
      </c>
      <c r="N86" s="19">
        <v>0.33116841316223139</v>
      </c>
      <c r="O86" s="23">
        <v>752.75819714709576</v>
      </c>
      <c r="P86" s="26">
        <v>0.32413196563720698</v>
      </c>
    </row>
    <row r="87" spans="1:16" x14ac:dyDescent="0.3">
      <c r="A87" s="30" t="s">
        <v>88</v>
      </c>
      <c r="B87" s="3">
        <v>984</v>
      </c>
      <c r="C87" s="2">
        <v>930</v>
      </c>
      <c r="D87" s="19">
        <v>0.61687088012695313</v>
      </c>
      <c r="E87" s="2">
        <v>954</v>
      </c>
      <c r="F87" s="19">
        <v>0.42011594772338873</v>
      </c>
      <c r="G87" s="2">
        <v>936</v>
      </c>
      <c r="H87" s="19">
        <v>0.35804200172424322</v>
      </c>
      <c r="I87" s="14">
        <f t="shared" si="1"/>
        <v>3.0487804878048781</v>
      </c>
      <c r="J87" s="31"/>
      <c r="K87" s="25">
        <v>802.43945763862496</v>
      </c>
      <c r="L87" s="19">
        <v>0.3560481071472168</v>
      </c>
      <c r="M87" s="23">
        <v>796.68837175979945</v>
      </c>
      <c r="N87" s="19">
        <v>0.36103439331054688</v>
      </c>
      <c r="O87" s="23">
        <v>787.84811911257395</v>
      </c>
      <c r="P87" s="26">
        <v>0.34407973289489752</v>
      </c>
    </row>
    <row r="88" spans="1:16" x14ac:dyDescent="0.3">
      <c r="A88" s="30" t="s">
        <v>89</v>
      </c>
      <c r="B88" s="3">
        <v>984</v>
      </c>
      <c r="C88" s="2">
        <v>894</v>
      </c>
      <c r="D88" s="19">
        <v>0.65735507011413574</v>
      </c>
      <c r="E88" s="2">
        <v>900</v>
      </c>
      <c r="F88" s="19">
        <v>0.43542170524597168</v>
      </c>
      <c r="G88" s="2">
        <v>906</v>
      </c>
      <c r="H88" s="19">
        <v>0.38098025321960449</v>
      </c>
      <c r="I88" s="14">
        <f t="shared" si="1"/>
        <v>7.9268292682926829</v>
      </c>
      <c r="J88" s="31"/>
      <c r="K88" s="25">
        <v>755.30715322490937</v>
      </c>
      <c r="L88" s="19">
        <v>0.35756754875183111</v>
      </c>
      <c r="M88" s="23">
        <v>735.61856550608525</v>
      </c>
      <c r="N88" s="19">
        <v>0.38008689880371088</v>
      </c>
      <c r="O88" s="23">
        <v>758.3668920319202</v>
      </c>
      <c r="P88" s="26">
        <v>0.35305571556091309</v>
      </c>
    </row>
    <row r="89" spans="1:16" x14ac:dyDescent="0.3">
      <c r="A89" s="30" t="s">
        <v>90</v>
      </c>
      <c r="B89" s="3">
        <v>1062</v>
      </c>
      <c r="C89" s="2">
        <v>1008</v>
      </c>
      <c r="D89" s="19">
        <v>0.87205338478088379</v>
      </c>
      <c r="E89" s="2">
        <v>1008</v>
      </c>
      <c r="F89" s="19">
        <v>0.36679387092590332</v>
      </c>
      <c r="G89" s="2">
        <v>1002</v>
      </c>
      <c r="H89" s="19">
        <v>0.35657143592834473</v>
      </c>
      <c r="I89" s="14">
        <f t="shared" si="1"/>
        <v>5.0847457627118651</v>
      </c>
      <c r="J89" s="31"/>
      <c r="K89" s="25">
        <v>848.58429134432981</v>
      </c>
      <c r="L89" s="19">
        <v>0.35795354843139648</v>
      </c>
      <c r="M89" s="23">
        <v>854.66992733943414</v>
      </c>
      <c r="N89" s="19">
        <v>0.40355682373046881</v>
      </c>
      <c r="O89" s="23">
        <v>836.25467307829649</v>
      </c>
      <c r="P89" s="26">
        <v>0.33211112022399902</v>
      </c>
    </row>
    <row r="90" spans="1:16" x14ac:dyDescent="0.3">
      <c r="A90" s="30" t="s">
        <v>91</v>
      </c>
      <c r="B90" s="3">
        <v>1062</v>
      </c>
      <c r="C90" s="2">
        <v>954</v>
      </c>
      <c r="D90" s="19">
        <v>0.64371824264526367</v>
      </c>
      <c r="E90" s="2">
        <v>972</v>
      </c>
      <c r="F90" s="19">
        <v>0.54346251487731934</v>
      </c>
      <c r="G90" s="2">
        <v>978</v>
      </c>
      <c r="H90" s="19">
        <v>0.35006332397460938</v>
      </c>
      <c r="I90" s="14">
        <f t="shared" si="1"/>
        <v>7.9096045197740121</v>
      </c>
      <c r="J90" s="31"/>
      <c r="K90" s="25">
        <v>840.24054559555077</v>
      </c>
      <c r="L90" s="19">
        <v>0.42586016654968262</v>
      </c>
      <c r="M90" s="23">
        <v>849.04858802470358</v>
      </c>
      <c r="N90" s="19">
        <v>0.43882513046264648</v>
      </c>
      <c r="O90" s="23">
        <v>794.3863020279814</v>
      </c>
      <c r="P90" s="26">
        <v>0.33162045478820801</v>
      </c>
    </row>
    <row r="91" spans="1:16" x14ac:dyDescent="0.3">
      <c r="A91" s="30" t="s">
        <v>92</v>
      </c>
      <c r="B91" s="3">
        <v>1062</v>
      </c>
      <c r="C91" s="2">
        <v>918</v>
      </c>
      <c r="D91" s="19">
        <v>0.42303228378295898</v>
      </c>
      <c r="E91" s="2">
        <v>1014</v>
      </c>
      <c r="F91" s="19">
        <v>0.37939167022705078</v>
      </c>
      <c r="G91" s="2">
        <v>1020</v>
      </c>
      <c r="H91" s="19">
        <v>0.36256051063537598</v>
      </c>
      <c r="I91" s="14">
        <f t="shared" si="1"/>
        <v>3.9548022598870061</v>
      </c>
      <c r="J91" s="31"/>
      <c r="K91" s="25">
        <v>816.04155234022107</v>
      </c>
      <c r="L91" s="19">
        <v>0.3740234375</v>
      </c>
      <c r="M91" s="23">
        <v>828.73370552163669</v>
      </c>
      <c r="N91" s="19">
        <v>0.51719546318054199</v>
      </c>
      <c r="O91" s="23">
        <v>839.66661877841966</v>
      </c>
      <c r="P91" s="26">
        <v>0.34707164764404302</v>
      </c>
    </row>
    <row r="92" spans="1:16" x14ac:dyDescent="0.3">
      <c r="A92" s="30" t="s">
        <v>93</v>
      </c>
      <c r="B92" s="3">
        <v>1062</v>
      </c>
      <c r="C92" s="2">
        <v>978</v>
      </c>
      <c r="D92" s="19">
        <v>0.86409378051757813</v>
      </c>
      <c r="E92" s="2">
        <v>1008</v>
      </c>
      <c r="F92" s="19">
        <v>0.48623323440551758</v>
      </c>
      <c r="G92" s="2">
        <v>984</v>
      </c>
      <c r="H92" s="19">
        <v>0.38641619682312012</v>
      </c>
      <c r="I92" s="14">
        <f t="shared" si="1"/>
        <v>5.0847457627118651</v>
      </c>
      <c r="J92" s="31"/>
      <c r="K92" s="25">
        <v>863.59210140753316</v>
      </c>
      <c r="L92" s="19">
        <v>0.39893436431884771</v>
      </c>
      <c r="M92" s="23">
        <v>859.0355774240744</v>
      </c>
      <c r="N92" s="19">
        <v>0.44281601905822748</v>
      </c>
      <c r="O92" s="23">
        <v>836.92639610144283</v>
      </c>
      <c r="P92" s="26">
        <v>0.36901235580444341</v>
      </c>
    </row>
    <row r="93" spans="1:16" x14ac:dyDescent="0.3">
      <c r="A93" s="30" t="s">
        <v>94</v>
      </c>
      <c r="B93" s="3">
        <v>1062</v>
      </c>
      <c r="C93" s="2">
        <v>978</v>
      </c>
      <c r="D93" s="19">
        <v>0.88248014450073242</v>
      </c>
      <c r="E93" s="2">
        <v>990</v>
      </c>
      <c r="F93" s="19">
        <v>0.48414850234985352</v>
      </c>
      <c r="G93" s="2">
        <v>1044</v>
      </c>
      <c r="H93" s="19">
        <v>0.43284177780151373</v>
      </c>
      <c r="I93" s="14">
        <f t="shared" si="1"/>
        <v>1.6949152542372881</v>
      </c>
      <c r="J93" s="31"/>
      <c r="K93" s="25">
        <v>843.33986837088867</v>
      </c>
      <c r="L93" s="19">
        <v>0.40451526641845698</v>
      </c>
      <c r="M93" s="23">
        <v>854.97609108101688</v>
      </c>
      <c r="N93" s="19">
        <v>0.45880746841430659</v>
      </c>
      <c r="O93" s="23">
        <v>848.6527474336167</v>
      </c>
      <c r="P93" s="26">
        <v>0.37699174880981451</v>
      </c>
    </row>
    <row r="94" spans="1:16" x14ac:dyDescent="0.3">
      <c r="A94" s="30" t="s">
        <v>95</v>
      </c>
      <c r="B94" s="3">
        <v>1116</v>
      </c>
      <c r="C94" s="2">
        <v>1062</v>
      </c>
      <c r="D94" s="19">
        <v>0.68255138397216797</v>
      </c>
      <c r="E94" s="2">
        <v>1086</v>
      </c>
      <c r="F94" s="19">
        <v>0.41183924674987787</v>
      </c>
      <c r="G94" s="2">
        <v>1032</v>
      </c>
      <c r="H94" s="19">
        <v>0.39548325538635248</v>
      </c>
      <c r="I94" s="14">
        <f t="shared" si="1"/>
        <v>2.6881720430107525</v>
      </c>
      <c r="J94" s="31"/>
      <c r="K94" s="25">
        <v>903.65615934694517</v>
      </c>
      <c r="L94" s="19">
        <v>0.37942123413085938</v>
      </c>
      <c r="M94" s="23">
        <v>892.59116536793567</v>
      </c>
      <c r="N94" s="19">
        <v>0.48071432113647461</v>
      </c>
      <c r="O94" s="23">
        <v>880.47282606051579</v>
      </c>
      <c r="P94" s="26">
        <v>0.40192413330078119</v>
      </c>
    </row>
    <row r="95" spans="1:16" x14ac:dyDescent="0.3">
      <c r="A95" s="30" t="s">
        <v>96</v>
      </c>
      <c r="B95" s="3">
        <v>1116</v>
      </c>
      <c r="C95" s="2">
        <v>1044</v>
      </c>
      <c r="D95" s="19">
        <v>0.68518376350402832</v>
      </c>
      <c r="E95" s="2">
        <v>1098</v>
      </c>
      <c r="F95" s="19">
        <v>0.51345181465148926</v>
      </c>
      <c r="G95" s="2">
        <v>1050</v>
      </c>
      <c r="H95" s="19">
        <v>0.65125679969787598</v>
      </c>
      <c r="I95" s="14">
        <f t="shared" si="1"/>
        <v>1.6129032258064515</v>
      </c>
      <c r="J95" s="31"/>
      <c r="K95" s="25">
        <v>902.4093623248184</v>
      </c>
      <c r="L95" s="19">
        <v>0.39095401763916021</v>
      </c>
      <c r="M95" s="23">
        <v>913.70261438046225</v>
      </c>
      <c r="N95" s="19">
        <v>0.38250994682312012</v>
      </c>
      <c r="O95" s="23">
        <v>901.83645199590592</v>
      </c>
      <c r="P95" s="26">
        <v>0.36103367805480963</v>
      </c>
    </row>
    <row r="96" spans="1:16" x14ac:dyDescent="0.3">
      <c r="A96" s="30" t="s">
        <v>97</v>
      </c>
      <c r="B96" s="3">
        <v>1116</v>
      </c>
      <c r="C96" s="2">
        <v>1044</v>
      </c>
      <c r="D96" s="19">
        <v>0.84679579734802246</v>
      </c>
      <c r="E96" s="2">
        <v>1074</v>
      </c>
      <c r="F96" s="19">
        <v>0.42636299133300781</v>
      </c>
      <c r="G96" s="2">
        <v>1026</v>
      </c>
      <c r="H96" s="19">
        <v>0.37212705612182623</v>
      </c>
      <c r="I96" s="14">
        <f t="shared" si="1"/>
        <v>3.763440860215054</v>
      </c>
      <c r="J96" s="31"/>
      <c r="K96" s="25">
        <v>923.71502853453444</v>
      </c>
      <c r="L96" s="19">
        <v>0.40532922744750982</v>
      </c>
      <c r="M96" s="23">
        <v>923.18028043614834</v>
      </c>
      <c r="N96" s="19">
        <v>0.47711920738220209</v>
      </c>
      <c r="O96" s="23">
        <v>882.97399311555114</v>
      </c>
      <c r="P96" s="26">
        <v>0.37798905372619629</v>
      </c>
    </row>
    <row r="97" spans="1:16" x14ac:dyDescent="0.3">
      <c r="A97" s="30" t="s">
        <v>98</v>
      </c>
      <c r="B97" s="3">
        <v>1116</v>
      </c>
      <c r="C97" s="2">
        <v>1062</v>
      </c>
      <c r="D97" s="19">
        <v>0.69667601585388184</v>
      </c>
      <c r="E97" s="2">
        <v>1092</v>
      </c>
      <c r="F97" s="19">
        <v>0.45665907859802252</v>
      </c>
      <c r="G97" s="2">
        <v>1026</v>
      </c>
      <c r="H97" s="19">
        <v>0.40092706680297852</v>
      </c>
      <c r="I97" s="14">
        <f t="shared" si="1"/>
        <v>2.1505376344086025</v>
      </c>
      <c r="J97" s="31"/>
      <c r="K97" s="25">
        <v>892.51064946163592</v>
      </c>
      <c r="L97" s="19">
        <v>0.40990304946899409</v>
      </c>
      <c r="M97" s="23">
        <v>902.29580947805505</v>
      </c>
      <c r="N97" s="19">
        <v>0.40790724754333502</v>
      </c>
      <c r="O97" s="23">
        <v>921.12148654398277</v>
      </c>
      <c r="P97" s="26">
        <v>0.3815162181854248</v>
      </c>
    </row>
    <row r="98" spans="1:16" x14ac:dyDescent="0.3">
      <c r="A98" s="30" t="s">
        <v>99</v>
      </c>
      <c r="B98" s="3">
        <v>1116</v>
      </c>
      <c r="C98" s="2">
        <v>1050</v>
      </c>
      <c r="D98" s="19">
        <v>0.55580663681030273</v>
      </c>
      <c r="E98" s="2">
        <v>1068</v>
      </c>
      <c r="F98" s="19">
        <v>0.51385736465454102</v>
      </c>
      <c r="G98" s="2">
        <v>1026</v>
      </c>
      <c r="H98" s="19">
        <v>0.46009016036987299</v>
      </c>
      <c r="I98" s="14">
        <f t="shared" si="1"/>
        <v>4.3010752688172049</v>
      </c>
      <c r="J98" s="31"/>
      <c r="K98" s="25">
        <v>875.31570813073529</v>
      </c>
      <c r="L98" s="19">
        <v>0.43942737579345698</v>
      </c>
      <c r="M98" s="23">
        <v>886.9111332705113</v>
      </c>
      <c r="N98" s="19">
        <v>0.50245261192321777</v>
      </c>
      <c r="O98" s="23">
        <v>927.65127769364858</v>
      </c>
      <c r="P98" s="26">
        <v>0.40217709541320801</v>
      </c>
    </row>
    <row r="99" spans="1:16" x14ac:dyDescent="0.3">
      <c r="A99" s="30" t="s">
        <v>100</v>
      </c>
      <c r="B99" s="3">
        <v>1188</v>
      </c>
      <c r="C99" s="2">
        <v>1158</v>
      </c>
      <c r="D99" s="19">
        <v>0.48628830909728998</v>
      </c>
      <c r="E99" s="2">
        <v>1158</v>
      </c>
      <c r="F99" s="19">
        <v>0.47152233123779302</v>
      </c>
      <c r="G99" s="2">
        <v>1146</v>
      </c>
      <c r="H99" s="19">
        <v>0.64726924896240234</v>
      </c>
      <c r="I99" s="14">
        <f t="shared" si="1"/>
        <v>2.5252525252525251</v>
      </c>
      <c r="J99" s="31"/>
      <c r="K99" s="25">
        <v>947.39119546688084</v>
      </c>
      <c r="L99" s="19">
        <v>0.39300298690795898</v>
      </c>
      <c r="M99" s="23">
        <v>969.7435057123073</v>
      </c>
      <c r="N99" s="19">
        <v>0.38740229606628418</v>
      </c>
      <c r="O99" s="23">
        <v>952.15246025633724</v>
      </c>
      <c r="P99" s="26">
        <v>0.3700098991394043</v>
      </c>
    </row>
    <row r="100" spans="1:16" x14ac:dyDescent="0.3">
      <c r="A100" s="30" t="s">
        <v>101</v>
      </c>
      <c r="B100" s="3">
        <v>1188</v>
      </c>
      <c r="C100" s="2">
        <v>1110</v>
      </c>
      <c r="D100" s="19">
        <v>0.47985482215881348</v>
      </c>
      <c r="E100" s="2">
        <v>1116</v>
      </c>
      <c r="F100" s="19">
        <v>0.42757678031921392</v>
      </c>
      <c r="G100" s="2">
        <v>1098</v>
      </c>
      <c r="H100" s="19">
        <v>0.52492189407348633</v>
      </c>
      <c r="I100" s="14">
        <f t="shared" si="1"/>
        <v>6.0606060606060606</v>
      </c>
      <c r="J100" s="31"/>
      <c r="K100" s="25">
        <v>929.07921408046479</v>
      </c>
      <c r="L100" s="19">
        <v>0.37699198722839361</v>
      </c>
      <c r="M100" s="23">
        <v>899.86734382849215</v>
      </c>
      <c r="N100" s="19">
        <v>0.46878385543823242</v>
      </c>
      <c r="O100" s="23">
        <v>888.95486072997846</v>
      </c>
      <c r="P100" s="26">
        <v>0.36570000648498541</v>
      </c>
    </row>
    <row r="101" spans="1:16" x14ac:dyDescent="0.3">
      <c r="A101" s="30" t="s">
        <v>102</v>
      </c>
      <c r="B101" s="3">
        <v>1188</v>
      </c>
      <c r="C101" s="2">
        <v>1074</v>
      </c>
      <c r="D101" s="19">
        <v>0.46508908271789551</v>
      </c>
      <c r="E101" s="2">
        <v>1098</v>
      </c>
      <c r="F101" s="19">
        <v>0.43020105361938482</v>
      </c>
      <c r="G101" s="2">
        <v>1110</v>
      </c>
      <c r="H101" s="19">
        <v>0.47971630096435552</v>
      </c>
      <c r="I101" s="14">
        <f t="shared" si="1"/>
        <v>6.5656565656565666</v>
      </c>
      <c r="J101" s="31"/>
      <c r="K101" s="25">
        <v>928.70245200401212</v>
      </c>
      <c r="L101" s="19">
        <v>0.39555931091308588</v>
      </c>
      <c r="M101" s="23">
        <v>905.94069779430242</v>
      </c>
      <c r="N101" s="19">
        <v>0.39993000030517578</v>
      </c>
      <c r="O101" s="23">
        <v>922.89902325654941</v>
      </c>
      <c r="P101" s="26">
        <v>0.3742682933807373</v>
      </c>
    </row>
    <row r="102" spans="1:16" x14ac:dyDescent="0.3">
      <c r="A102" s="30" t="s">
        <v>103</v>
      </c>
      <c r="B102" s="3">
        <v>1188</v>
      </c>
      <c r="C102" s="2">
        <v>1104</v>
      </c>
      <c r="D102" s="19">
        <v>0.51798534393310547</v>
      </c>
      <c r="E102" s="2">
        <v>1116</v>
      </c>
      <c r="F102" s="19">
        <v>0.43530917167663569</v>
      </c>
      <c r="G102" s="2">
        <v>1116</v>
      </c>
      <c r="H102" s="19">
        <v>0.48664569854736328</v>
      </c>
      <c r="I102" s="14">
        <f t="shared" si="1"/>
        <v>6.0606060606060606</v>
      </c>
      <c r="J102" s="31"/>
      <c r="K102" s="25">
        <v>952.47258762500769</v>
      </c>
      <c r="L102" s="19">
        <v>0.40491700172424322</v>
      </c>
      <c r="M102" s="23">
        <v>924.23984651225339</v>
      </c>
      <c r="N102" s="19">
        <v>0.42490696907043463</v>
      </c>
      <c r="O102" s="23">
        <v>918.57114637608026</v>
      </c>
      <c r="P102" s="26">
        <v>0.39195084571838379</v>
      </c>
    </row>
    <row r="103" spans="1:16" x14ac:dyDescent="0.3">
      <c r="A103" s="30" t="s">
        <v>104</v>
      </c>
      <c r="B103" s="3">
        <v>1188</v>
      </c>
      <c r="C103" s="2">
        <v>1122</v>
      </c>
      <c r="D103" s="19">
        <v>0.68844342231750488</v>
      </c>
      <c r="E103" s="2">
        <v>1128</v>
      </c>
      <c r="F103" s="19">
        <v>0.50188946723937988</v>
      </c>
      <c r="G103" s="2">
        <v>1128</v>
      </c>
      <c r="H103" s="19">
        <v>0.48570060729980469</v>
      </c>
      <c r="I103" s="14">
        <f t="shared" si="1"/>
        <v>5.0505050505050502</v>
      </c>
      <c r="J103" s="31"/>
      <c r="K103" s="25">
        <v>917.26695066996672</v>
      </c>
      <c r="L103" s="19">
        <v>0.40614652633666992</v>
      </c>
      <c r="M103" s="23">
        <v>923.42729227451662</v>
      </c>
      <c r="N103" s="19">
        <v>0.44685912132263178</v>
      </c>
      <c r="O103" s="23">
        <v>911.74736057099028</v>
      </c>
      <c r="P103" s="26">
        <v>0.41056537628173828</v>
      </c>
    </row>
    <row r="104" spans="1:16" x14ac:dyDescent="0.3">
      <c r="A104" s="30" t="s">
        <v>105</v>
      </c>
      <c r="B104" s="3">
        <v>1236</v>
      </c>
      <c r="C104" s="2">
        <v>1158</v>
      </c>
      <c r="D104" s="19">
        <v>0.67785215377807617</v>
      </c>
      <c r="E104" s="2">
        <v>1176</v>
      </c>
      <c r="F104" s="19">
        <v>0.56929636001586914</v>
      </c>
      <c r="G104" s="2">
        <v>1176</v>
      </c>
      <c r="H104" s="19">
        <v>0.40101718902587891</v>
      </c>
      <c r="I104" s="14">
        <f t="shared" si="1"/>
        <v>4.8543689320388346</v>
      </c>
      <c r="J104" s="31"/>
      <c r="K104" s="25">
        <v>953.99375229547422</v>
      </c>
      <c r="L104" s="19">
        <v>0.37404632568359381</v>
      </c>
      <c r="M104" s="23">
        <v>942.56436611396703</v>
      </c>
      <c r="N104" s="19">
        <v>0.46428537368774409</v>
      </c>
      <c r="O104" s="23">
        <v>949.50454242071123</v>
      </c>
      <c r="P104" s="26">
        <v>0.36701774597167969</v>
      </c>
    </row>
    <row r="105" spans="1:16" x14ac:dyDescent="0.3">
      <c r="A105" s="30" t="s">
        <v>106</v>
      </c>
      <c r="B105" s="3">
        <v>1236</v>
      </c>
      <c r="C105" s="2">
        <v>1188</v>
      </c>
      <c r="D105" s="19">
        <v>0.95732665061950684</v>
      </c>
      <c r="E105" s="2">
        <v>1188</v>
      </c>
      <c r="F105" s="19">
        <v>0.58167672157287598</v>
      </c>
      <c r="G105" s="2">
        <v>1176</v>
      </c>
      <c r="H105" s="19">
        <v>0.48769545555114752</v>
      </c>
      <c r="I105" s="14">
        <f t="shared" si="1"/>
        <v>3.8834951456310676</v>
      </c>
      <c r="J105" s="31"/>
      <c r="K105" s="25">
        <v>994.55554695858473</v>
      </c>
      <c r="L105" s="19">
        <v>0.40192389488220209</v>
      </c>
      <c r="M105" s="23">
        <v>942.50559803584952</v>
      </c>
      <c r="N105" s="19">
        <v>0.41899585723876948</v>
      </c>
      <c r="O105" s="23">
        <v>931.75481185951048</v>
      </c>
      <c r="P105" s="26">
        <v>0.39646363258361822</v>
      </c>
    </row>
    <row r="106" spans="1:16" x14ac:dyDescent="0.3">
      <c r="A106" s="30" t="s">
        <v>107</v>
      </c>
      <c r="B106" s="3">
        <v>1236</v>
      </c>
      <c r="C106" s="2">
        <v>1104</v>
      </c>
      <c r="D106" s="19">
        <v>0.94153881072998047</v>
      </c>
      <c r="E106" s="2">
        <v>1158</v>
      </c>
      <c r="F106" s="19">
        <v>0.45790314674377441</v>
      </c>
      <c r="G106" s="2">
        <v>1122</v>
      </c>
      <c r="H106" s="19">
        <v>0.42244577407836909</v>
      </c>
      <c r="I106" s="14">
        <f t="shared" si="1"/>
        <v>6.3106796116504853</v>
      </c>
      <c r="J106" s="31"/>
      <c r="K106" s="25">
        <v>955.6114368237445</v>
      </c>
      <c r="L106" s="19">
        <v>0.40523624420166021</v>
      </c>
      <c r="M106" s="23">
        <v>932.15498193745407</v>
      </c>
      <c r="N106" s="19">
        <v>0.42486262321472168</v>
      </c>
      <c r="O106" s="23">
        <v>932.01869722074343</v>
      </c>
      <c r="P106" s="26">
        <v>0.39222979545593262</v>
      </c>
    </row>
    <row r="107" spans="1:16" x14ac:dyDescent="0.3">
      <c r="A107" s="30" t="s">
        <v>108</v>
      </c>
      <c r="B107" s="3">
        <v>1236</v>
      </c>
      <c r="C107" s="2">
        <v>1182</v>
      </c>
      <c r="D107" s="19">
        <v>1.011833667755127</v>
      </c>
      <c r="E107" s="2">
        <v>1206</v>
      </c>
      <c r="F107" s="19">
        <v>0.48692727088928223</v>
      </c>
      <c r="G107" s="2">
        <v>1200</v>
      </c>
      <c r="H107" s="19">
        <v>0.54559445381164551</v>
      </c>
      <c r="I107" s="14">
        <f t="shared" si="1"/>
        <v>2.4271844660194173</v>
      </c>
      <c r="J107" s="31"/>
      <c r="K107" s="25">
        <v>953.62109014561804</v>
      </c>
      <c r="L107" s="19">
        <v>0.40890598297119141</v>
      </c>
      <c r="M107" s="23">
        <v>941.67550363840417</v>
      </c>
      <c r="N107" s="19">
        <v>0.43673324584960938</v>
      </c>
      <c r="O107" s="23">
        <v>954.58872418350063</v>
      </c>
      <c r="P107" s="26">
        <v>0.4059135913848877</v>
      </c>
    </row>
    <row r="108" spans="1:16" x14ac:dyDescent="0.3">
      <c r="A108" s="30" t="s">
        <v>109</v>
      </c>
      <c r="B108" s="3">
        <v>1236</v>
      </c>
      <c r="C108" s="2">
        <v>1170</v>
      </c>
      <c r="D108" s="19">
        <v>1.2473902702331541</v>
      </c>
      <c r="E108" s="2">
        <v>1188</v>
      </c>
      <c r="F108" s="19">
        <v>0.52782344818115234</v>
      </c>
      <c r="G108" s="2">
        <v>1158</v>
      </c>
      <c r="H108" s="19">
        <v>0.50657367706298828</v>
      </c>
      <c r="I108" s="14">
        <f t="shared" si="1"/>
        <v>3.8834951456310676</v>
      </c>
      <c r="J108" s="31"/>
      <c r="K108" s="25">
        <v>1009.043646583637</v>
      </c>
      <c r="L108" s="19">
        <v>0.44211030006408691</v>
      </c>
      <c r="M108" s="23">
        <v>963.30380186298567</v>
      </c>
      <c r="N108" s="19">
        <v>0.45179176330566412</v>
      </c>
      <c r="O108" s="23">
        <v>951.3955367874014</v>
      </c>
      <c r="P108" s="26">
        <v>0.4225468635559082</v>
      </c>
    </row>
    <row r="109" spans="1:16" x14ac:dyDescent="0.3">
      <c r="A109" s="30" t="s">
        <v>110</v>
      </c>
      <c r="B109" s="3">
        <v>1236</v>
      </c>
      <c r="C109" s="2">
        <v>1206</v>
      </c>
      <c r="D109" s="19">
        <v>0.73074746131896973</v>
      </c>
      <c r="E109" s="2">
        <v>1176</v>
      </c>
      <c r="F109" s="19">
        <v>0.58773040771484375</v>
      </c>
      <c r="G109" s="2">
        <v>1158</v>
      </c>
      <c r="H109" s="19">
        <v>0.57831859588623047</v>
      </c>
      <c r="I109" s="14">
        <f t="shared" si="1"/>
        <v>2.4271844660194173</v>
      </c>
      <c r="J109" s="31"/>
      <c r="K109" s="25">
        <v>969.62430938276361</v>
      </c>
      <c r="L109" s="19">
        <v>0.47187900543212891</v>
      </c>
      <c r="M109" s="23">
        <v>957.71746237099046</v>
      </c>
      <c r="N109" s="19">
        <v>0.53186225891113281</v>
      </c>
      <c r="O109" s="23">
        <v>963.33986837088867</v>
      </c>
      <c r="P109" s="26">
        <v>0.46276211738586431</v>
      </c>
    </row>
    <row r="110" spans="1:16" x14ac:dyDescent="0.3">
      <c r="A110" s="30" t="s">
        <v>111</v>
      </c>
      <c r="B110" s="3">
        <v>1236</v>
      </c>
      <c r="C110" s="2">
        <v>1134</v>
      </c>
      <c r="D110" s="19">
        <v>0.76470541954040527</v>
      </c>
      <c r="E110" s="2">
        <v>1158</v>
      </c>
      <c r="F110" s="19">
        <v>0.54530525207519531</v>
      </c>
      <c r="G110" s="2">
        <v>1158</v>
      </c>
      <c r="H110" s="19">
        <v>0.60848665237426758</v>
      </c>
      <c r="I110" s="14">
        <f t="shared" si="1"/>
        <v>6.3106796116504853</v>
      </c>
      <c r="J110" s="31"/>
      <c r="K110" s="25">
        <v>943.41448909408916</v>
      </c>
      <c r="L110" s="19">
        <v>0.47173786163330078</v>
      </c>
      <c r="M110" s="23">
        <v>933.26764751042185</v>
      </c>
      <c r="N110" s="19">
        <v>0.4916846752166748</v>
      </c>
      <c r="O110" s="23">
        <v>960.82550319223878</v>
      </c>
      <c r="P110" s="26">
        <v>0.45436620712280268</v>
      </c>
    </row>
    <row r="111" spans="1:16" x14ac:dyDescent="0.3">
      <c r="A111" s="30" t="s">
        <v>112</v>
      </c>
      <c r="B111" s="3">
        <v>1236</v>
      </c>
      <c r="C111" s="2">
        <v>1152</v>
      </c>
      <c r="D111" s="19">
        <v>0.77026247978210449</v>
      </c>
      <c r="E111" s="2">
        <v>1164</v>
      </c>
      <c r="F111" s="19">
        <v>0.56149506568908691</v>
      </c>
      <c r="G111" s="2">
        <v>1170</v>
      </c>
      <c r="H111" s="19">
        <v>0.58881068229675293</v>
      </c>
      <c r="I111" s="14">
        <f t="shared" si="1"/>
        <v>5.3398058252427179</v>
      </c>
      <c r="J111" s="31"/>
      <c r="K111" s="25">
        <v>916.74125944689729</v>
      </c>
      <c r="L111" s="19">
        <v>0.46176433563232422</v>
      </c>
      <c r="M111" s="23">
        <v>934.08790850710864</v>
      </c>
      <c r="N111" s="19">
        <v>0.52060294151306152</v>
      </c>
      <c r="O111" s="23">
        <v>917.01443124370735</v>
      </c>
      <c r="P111" s="26">
        <v>0.45777487754821777</v>
      </c>
    </row>
    <row r="112" spans="1:16" x14ac:dyDescent="0.3">
      <c r="A112" s="30" t="s">
        <v>113</v>
      </c>
      <c r="B112" s="3">
        <v>1236</v>
      </c>
      <c r="C112" s="2">
        <v>1170</v>
      </c>
      <c r="D112" s="19">
        <v>0.73999166488647461</v>
      </c>
      <c r="E112" s="2">
        <v>1176</v>
      </c>
      <c r="F112" s="19">
        <v>0.6850275993347168</v>
      </c>
      <c r="G112" s="2">
        <v>1200</v>
      </c>
      <c r="H112" s="19">
        <v>0.60277795791625977</v>
      </c>
      <c r="I112" s="14">
        <f t="shared" si="1"/>
        <v>2.912621359223301</v>
      </c>
      <c r="J112" s="31"/>
      <c r="K112" s="25">
        <v>943.77531363921389</v>
      </c>
      <c r="L112" s="19">
        <v>0.47922539710998541</v>
      </c>
      <c r="M112" s="23">
        <v>931.32856079253816</v>
      </c>
      <c r="N112" s="19">
        <v>0.4667515754699707</v>
      </c>
      <c r="O112" s="23">
        <v>920.28109809798957</v>
      </c>
      <c r="P112" s="26">
        <v>0.47026705741882319</v>
      </c>
    </row>
    <row r="113" spans="1:16" x14ac:dyDescent="0.3">
      <c r="A113" s="30" t="s">
        <v>114</v>
      </c>
      <c r="B113" s="3">
        <v>1236</v>
      </c>
      <c r="C113" s="2">
        <v>1152</v>
      </c>
      <c r="D113" s="19">
        <v>0.74867868423461914</v>
      </c>
      <c r="E113" s="2">
        <v>1152</v>
      </c>
      <c r="F113" s="19">
        <v>0.63924908638000488</v>
      </c>
      <c r="G113" s="2">
        <v>1152</v>
      </c>
      <c r="H113" s="19">
        <v>0.64052557945251465</v>
      </c>
      <c r="I113" s="14">
        <f t="shared" si="1"/>
        <v>6.7961165048543686</v>
      </c>
      <c r="J113" s="31"/>
      <c r="K113" s="25">
        <v>957.01101560832865</v>
      </c>
      <c r="L113" s="19">
        <v>0.47672462463378912</v>
      </c>
      <c r="M113" s="23">
        <v>927.97740727172186</v>
      </c>
      <c r="N113" s="19">
        <v>0.48406624794006348</v>
      </c>
      <c r="O113" s="23">
        <v>916.3636225978255</v>
      </c>
      <c r="P113" s="26">
        <v>0.53045797348022461</v>
      </c>
    </row>
    <row r="114" spans="1:16" x14ac:dyDescent="0.3">
      <c r="A114" s="30" t="s">
        <v>115</v>
      </c>
      <c r="B114" s="3">
        <v>1236</v>
      </c>
      <c r="C114" s="2">
        <v>1170</v>
      </c>
      <c r="D114" s="19">
        <v>0.79307007789611816</v>
      </c>
      <c r="E114" s="2">
        <v>1152</v>
      </c>
      <c r="F114" s="19">
        <v>0.5894615650177002</v>
      </c>
      <c r="G114" s="2">
        <v>1164</v>
      </c>
      <c r="H114" s="19">
        <v>0.63031315803527832</v>
      </c>
      <c r="I114" s="14">
        <f t="shared" si="1"/>
        <v>5.3398058252427179</v>
      </c>
      <c r="J114" s="31"/>
      <c r="K114" s="25">
        <v>937.57190672635602</v>
      </c>
      <c r="L114" s="19">
        <v>0.48370575904846191</v>
      </c>
      <c r="M114" s="23">
        <v>925.67407006693986</v>
      </c>
      <c r="N114" s="19">
        <v>0.47473049163818359</v>
      </c>
      <c r="O114" s="23">
        <v>921.3645652698284</v>
      </c>
      <c r="P114" s="26">
        <v>0.53368473052978516</v>
      </c>
    </row>
    <row r="115" spans="1:16" x14ac:dyDescent="0.3">
      <c r="A115" s="30" t="s">
        <v>116</v>
      </c>
      <c r="B115" s="3">
        <v>1236</v>
      </c>
      <c r="C115" s="2">
        <v>1200</v>
      </c>
      <c r="D115" s="19">
        <v>0.81221437454223633</v>
      </c>
      <c r="E115" s="2">
        <v>1188</v>
      </c>
      <c r="F115" s="19">
        <v>0.60986042022705078</v>
      </c>
      <c r="G115" s="2">
        <v>1200</v>
      </c>
      <c r="H115" s="19">
        <v>0.74657464027404785</v>
      </c>
      <c r="I115" s="14">
        <f t="shared" si="1"/>
        <v>2.912621359223301</v>
      </c>
      <c r="J115" s="31"/>
      <c r="K115" s="25">
        <v>964.36488639679988</v>
      </c>
      <c r="L115" s="19">
        <v>0.52060723304748535</v>
      </c>
      <c r="M115" s="23">
        <v>988.59754925571463</v>
      </c>
      <c r="N115" s="19">
        <v>0.51020407676696777</v>
      </c>
      <c r="O115" s="23">
        <v>948.16036851865715</v>
      </c>
      <c r="P115" s="26">
        <v>0.56049919128417969</v>
      </c>
    </row>
    <row r="116" spans="1:16" x14ac:dyDescent="0.3">
      <c r="A116" s="30" t="s">
        <v>117</v>
      </c>
      <c r="B116" s="3">
        <v>1236</v>
      </c>
      <c r="C116" s="2">
        <v>1194</v>
      </c>
      <c r="D116" s="19">
        <v>0.80666422843933105</v>
      </c>
      <c r="E116" s="2">
        <v>1206</v>
      </c>
      <c r="F116" s="19">
        <v>0.63397049903869629</v>
      </c>
      <c r="G116" s="2">
        <v>1164</v>
      </c>
      <c r="H116" s="19">
        <v>0.69591641426086426</v>
      </c>
      <c r="I116" s="14">
        <f t="shared" si="1"/>
        <v>2.4271844660194173</v>
      </c>
      <c r="J116" s="31"/>
      <c r="K116" s="25">
        <v>956.02331166606791</v>
      </c>
      <c r="L116" s="19">
        <v>0.54055476188659668</v>
      </c>
      <c r="M116" s="23">
        <v>938.8504318942812</v>
      </c>
      <c r="N116" s="19">
        <v>0.50764250755310059</v>
      </c>
      <c r="O116" s="23">
        <v>950.57030782002573</v>
      </c>
      <c r="P116" s="26">
        <v>0.52287602424621582</v>
      </c>
    </row>
    <row r="117" spans="1:16" x14ac:dyDescent="0.3">
      <c r="A117" s="30" t="s">
        <v>118</v>
      </c>
      <c r="B117" s="3">
        <v>1236</v>
      </c>
      <c r="C117" s="2">
        <v>1158</v>
      </c>
      <c r="D117" s="19">
        <v>0.80653071403503418</v>
      </c>
      <c r="E117" s="2">
        <v>1164</v>
      </c>
      <c r="F117" s="19">
        <v>0.70628595352172852</v>
      </c>
      <c r="G117" s="2">
        <v>1194</v>
      </c>
      <c r="H117" s="19">
        <v>0.69414305686950684</v>
      </c>
      <c r="I117" s="14">
        <f t="shared" si="1"/>
        <v>3.3980582524271843</v>
      </c>
      <c r="J117" s="31"/>
      <c r="K117" s="25">
        <v>935.00557148219741</v>
      </c>
      <c r="L117" s="19">
        <v>0.51861190795898438</v>
      </c>
      <c r="M117" s="23">
        <v>935.27953388095511</v>
      </c>
      <c r="N117" s="19">
        <v>0.50448465347290039</v>
      </c>
      <c r="O117" s="23">
        <v>930.63926883721922</v>
      </c>
      <c r="P117" s="26">
        <v>0.55651187896728516</v>
      </c>
    </row>
    <row r="118" spans="1:16" x14ac:dyDescent="0.3">
      <c r="A118" s="30" t="s">
        <v>119</v>
      </c>
      <c r="B118" s="3">
        <v>1284</v>
      </c>
      <c r="C118" s="2">
        <v>1200</v>
      </c>
      <c r="D118" s="19">
        <v>0.58705306053161621</v>
      </c>
      <c r="E118" s="2">
        <v>1224</v>
      </c>
      <c r="F118" s="19">
        <v>0.45941877365112299</v>
      </c>
      <c r="G118" s="2">
        <v>1188</v>
      </c>
      <c r="H118" s="19">
        <v>0.4623560905456543</v>
      </c>
      <c r="I118" s="14">
        <f t="shared" si="1"/>
        <v>4.6728971962616823</v>
      </c>
      <c r="J118" s="31"/>
      <c r="K118" s="25">
        <v>992.08817347223851</v>
      </c>
      <c r="L118" s="19">
        <v>0.38696408271789551</v>
      </c>
      <c r="M118" s="23">
        <v>1015.311325488513</v>
      </c>
      <c r="N118" s="19">
        <v>0.39893269538879389</v>
      </c>
      <c r="O118" s="23">
        <v>998.73467252847979</v>
      </c>
      <c r="P118" s="26">
        <v>0.43953800201416021</v>
      </c>
    </row>
    <row r="119" spans="1:16" x14ac:dyDescent="0.3">
      <c r="A119" s="30" t="s">
        <v>120</v>
      </c>
      <c r="B119" s="3">
        <v>1284</v>
      </c>
      <c r="C119" s="2">
        <v>1212</v>
      </c>
      <c r="D119" s="19">
        <v>0.65688323974609375</v>
      </c>
      <c r="E119" s="2">
        <v>1230</v>
      </c>
      <c r="F119" s="19">
        <v>0.46835756301879877</v>
      </c>
      <c r="G119" s="2">
        <v>1218</v>
      </c>
      <c r="H119" s="19">
        <v>0.47373318672180181</v>
      </c>
      <c r="I119" s="14">
        <f t="shared" si="1"/>
        <v>4.2056074766355138</v>
      </c>
      <c r="J119" s="31"/>
      <c r="K119" s="25">
        <v>997.65135227349856</v>
      </c>
      <c r="L119" s="19">
        <v>0.41489005088806152</v>
      </c>
      <c r="M119" s="23">
        <v>957.94732307600532</v>
      </c>
      <c r="N119" s="19">
        <v>0.39646792411804199</v>
      </c>
      <c r="O119" s="23">
        <v>980.28481267222037</v>
      </c>
      <c r="P119" s="26">
        <v>0.44082045555114752</v>
      </c>
    </row>
    <row r="120" spans="1:16" x14ac:dyDescent="0.3">
      <c r="A120" s="30" t="s">
        <v>121</v>
      </c>
      <c r="B120" s="3">
        <v>1284</v>
      </c>
      <c r="C120" s="2">
        <v>1182</v>
      </c>
      <c r="D120" s="19">
        <v>0.8019711971282959</v>
      </c>
      <c r="E120" s="2">
        <v>1176</v>
      </c>
      <c r="F120" s="19">
        <v>0.47163891792297358</v>
      </c>
      <c r="G120" s="2">
        <v>1146</v>
      </c>
      <c r="H120" s="19">
        <v>0.43940114974975591</v>
      </c>
      <c r="I120" s="14">
        <f t="shared" si="1"/>
        <v>7.9439252336448591</v>
      </c>
      <c r="J120" s="31"/>
      <c r="K120" s="25">
        <v>987.25663295409163</v>
      </c>
      <c r="L120" s="19">
        <v>0.4168846607208252</v>
      </c>
      <c r="M120" s="23">
        <v>975.60851356703506</v>
      </c>
      <c r="N120" s="19">
        <v>0.41059732437133789</v>
      </c>
      <c r="O120" s="23">
        <v>998.66199989547147</v>
      </c>
      <c r="P120" s="26">
        <v>0.46538186073303223</v>
      </c>
    </row>
    <row r="121" spans="1:16" x14ac:dyDescent="0.3">
      <c r="A121" s="30" t="s">
        <v>122</v>
      </c>
      <c r="B121" s="3">
        <v>1284</v>
      </c>
      <c r="C121" s="2">
        <v>1230</v>
      </c>
      <c r="D121" s="19">
        <v>0.75512957572937012</v>
      </c>
      <c r="E121" s="2">
        <v>1230</v>
      </c>
      <c r="F121" s="19">
        <v>0.53442192077636719</v>
      </c>
      <c r="G121" s="2">
        <v>1242</v>
      </c>
      <c r="H121" s="19">
        <v>0.61854457855224609</v>
      </c>
      <c r="I121" s="14">
        <f t="shared" si="1"/>
        <v>3.2710280373831773</v>
      </c>
      <c r="J121" s="31"/>
      <c r="K121" s="25">
        <v>989.90627676374993</v>
      </c>
      <c r="L121" s="19">
        <v>0.43284177780151373</v>
      </c>
      <c r="M121" s="23">
        <v>943.11407810443256</v>
      </c>
      <c r="N121" s="19">
        <v>0.40790891647338873</v>
      </c>
      <c r="O121" s="23">
        <v>984.2227936260773</v>
      </c>
      <c r="P121" s="26">
        <v>0.63330650329589844</v>
      </c>
    </row>
    <row r="122" spans="1:16" x14ac:dyDescent="0.3">
      <c r="A122" s="30" t="s">
        <v>123</v>
      </c>
      <c r="B122" s="3">
        <v>1284</v>
      </c>
      <c r="C122" s="2">
        <v>1212</v>
      </c>
      <c r="D122" s="19">
        <v>0.75158905982971191</v>
      </c>
      <c r="E122" s="2">
        <v>1200</v>
      </c>
      <c r="F122" s="19">
        <v>0.97081542015075684</v>
      </c>
      <c r="G122" s="2">
        <v>1188</v>
      </c>
      <c r="H122" s="19">
        <v>0.54147720336914063</v>
      </c>
      <c r="I122" s="14">
        <f t="shared" si="1"/>
        <v>5.6074766355140184</v>
      </c>
      <c r="J122" s="31"/>
      <c r="K122" s="25">
        <v>984.45625443491895</v>
      </c>
      <c r="L122" s="19">
        <v>0.43982267379760742</v>
      </c>
      <c r="M122" s="23">
        <v>961.15559832928807</v>
      </c>
      <c r="N122" s="19">
        <v>0.43326377868652338</v>
      </c>
      <c r="O122" s="23">
        <v>1012.538944317682</v>
      </c>
      <c r="P122" s="26">
        <v>0.59732437133789063</v>
      </c>
    </row>
    <row r="123" spans="1:16" x14ac:dyDescent="0.3">
      <c r="A123" s="30" t="s">
        <v>124</v>
      </c>
      <c r="B123" s="3">
        <v>1284</v>
      </c>
      <c r="C123" s="2">
        <v>1230</v>
      </c>
      <c r="D123" s="19">
        <v>0.95057106018066406</v>
      </c>
      <c r="E123" s="2">
        <v>1224</v>
      </c>
      <c r="F123" s="19">
        <v>0.8936302661895752</v>
      </c>
      <c r="G123" s="2">
        <v>1248</v>
      </c>
      <c r="H123" s="19">
        <v>0.59296846389770508</v>
      </c>
      <c r="I123" s="14">
        <f t="shared" si="1"/>
        <v>2.8037383177570092</v>
      </c>
      <c r="J123" s="31"/>
      <c r="K123" s="25">
        <v>990.31509694015949</v>
      </c>
      <c r="L123" s="19">
        <v>0.49068665504455572</v>
      </c>
      <c r="M123" s="23">
        <v>979.01071371106059</v>
      </c>
      <c r="N123" s="19">
        <v>0.46176552772521973</v>
      </c>
      <c r="O123" s="23">
        <v>1013.74754513556</v>
      </c>
      <c r="P123" s="26">
        <v>0.48769497871398931</v>
      </c>
    </row>
    <row r="124" spans="1:16" x14ac:dyDescent="0.3">
      <c r="A124" s="30" t="s">
        <v>125</v>
      </c>
      <c r="B124" s="3">
        <v>1284</v>
      </c>
      <c r="C124" s="2">
        <v>1218</v>
      </c>
      <c r="D124" s="19">
        <v>1.148571729660034</v>
      </c>
      <c r="E124" s="2">
        <v>1206</v>
      </c>
      <c r="F124" s="19">
        <v>0.90039992332458496</v>
      </c>
      <c r="G124" s="2">
        <v>1212</v>
      </c>
      <c r="H124" s="19">
        <v>0.58248162269592285</v>
      </c>
      <c r="I124" s="14">
        <f t="shared" si="1"/>
        <v>5.1401869158878499</v>
      </c>
      <c r="J124" s="31"/>
      <c r="K124" s="25">
        <v>981.41897876261453</v>
      </c>
      <c r="L124" s="19">
        <v>0.49766850471496582</v>
      </c>
      <c r="M124" s="23">
        <v>976.58482800311629</v>
      </c>
      <c r="N124" s="19">
        <v>0.63997125625610352</v>
      </c>
      <c r="O124" s="23">
        <v>964.92946770615708</v>
      </c>
      <c r="P124" s="26">
        <v>0.52543973922729492</v>
      </c>
    </row>
    <row r="125" spans="1:16" x14ac:dyDescent="0.3">
      <c r="A125" s="30" t="s">
        <v>126</v>
      </c>
      <c r="B125" s="3">
        <v>1284</v>
      </c>
      <c r="C125" s="2">
        <v>1206</v>
      </c>
      <c r="D125" s="19">
        <v>0.87009000778198242</v>
      </c>
      <c r="E125" s="2">
        <v>1230</v>
      </c>
      <c r="F125" s="19">
        <v>0.9206843376159668</v>
      </c>
      <c r="G125" s="2">
        <v>1224</v>
      </c>
      <c r="H125" s="19">
        <v>0.60699820518493652</v>
      </c>
      <c r="I125" s="14">
        <f t="shared" si="1"/>
        <v>4.2056074766355138</v>
      </c>
      <c r="J125" s="31"/>
      <c r="K125" s="25">
        <v>970.85119443933854</v>
      </c>
      <c r="L125" s="19">
        <v>0.46974301338195801</v>
      </c>
      <c r="M125" s="23">
        <v>949.07389024544807</v>
      </c>
      <c r="N125" s="19">
        <v>0.62885260581970215</v>
      </c>
      <c r="O125" s="23">
        <v>960.79656465110293</v>
      </c>
      <c r="P125" s="26">
        <v>0.58443641662597656</v>
      </c>
    </row>
    <row r="126" spans="1:16" x14ac:dyDescent="0.3">
      <c r="A126" s="30" t="s">
        <v>127</v>
      </c>
      <c r="B126" s="3">
        <v>1284</v>
      </c>
      <c r="C126" s="2">
        <v>1242</v>
      </c>
      <c r="D126" s="19">
        <v>0.85336899757385254</v>
      </c>
      <c r="E126" s="2">
        <v>1224</v>
      </c>
      <c r="F126" s="19">
        <v>0.93305468559265137</v>
      </c>
      <c r="G126" s="2">
        <v>1230</v>
      </c>
      <c r="H126" s="19">
        <v>0.54155063629150391</v>
      </c>
      <c r="I126" s="14">
        <f t="shared" si="1"/>
        <v>3.2710280373831773</v>
      </c>
      <c r="J126" s="31"/>
      <c r="K126" s="25">
        <v>950.69607627590722</v>
      </c>
      <c r="L126" s="19">
        <v>0.52359890937805176</v>
      </c>
      <c r="M126" s="23">
        <v>961.16666308256731</v>
      </c>
      <c r="N126" s="19">
        <v>0.64721846580505371</v>
      </c>
      <c r="O126" s="23">
        <v>973.89766870255903</v>
      </c>
      <c r="P126" s="26">
        <v>0.5531611442565918</v>
      </c>
    </row>
    <row r="127" spans="1:16" x14ac:dyDescent="0.3">
      <c r="A127" s="30" t="s">
        <v>128</v>
      </c>
      <c r="B127" s="3">
        <v>1284</v>
      </c>
      <c r="C127" s="2">
        <v>1200</v>
      </c>
      <c r="D127" s="19">
        <v>0.92492461204528809</v>
      </c>
      <c r="E127" s="2">
        <v>1224</v>
      </c>
      <c r="F127" s="19">
        <v>0.94337964057922363</v>
      </c>
      <c r="G127" s="2">
        <v>1230</v>
      </c>
      <c r="H127" s="19">
        <v>0.6816093921661377</v>
      </c>
      <c r="I127" s="14">
        <f t="shared" si="1"/>
        <v>4.2056074766355138</v>
      </c>
      <c r="J127" s="31"/>
      <c r="K127" s="25">
        <v>982.3706715951796</v>
      </c>
      <c r="L127" s="19">
        <v>0.50465059280395508</v>
      </c>
      <c r="M127" s="23">
        <v>947.90462761240985</v>
      </c>
      <c r="N127" s="19">
        <v>0.55497288703918457</v>
      </c>
      <c r="O127" s="23">
        <v>936.22889990336773</v>
      </c>
      <c r="P127" s="26">
        <v>0.52713346481323242</v>
      </c>
    </row>
    <row r="128" spans="1:16" x14ac:dyDescent="0.3">
      <c r="A128" s="30" t="s">
        <v>129</v>
      </c>
      <c r="B128" s="3">
        <v>1284</v>
      </c>
      <c r="C128" s="2">
        <v>1194</v>
      </c>
      <c r="D128" s="19">
        <v>0.82695531845092773</v>
      </c>
      <c r="E128" s="2">
        <v>1200</v>
      </c>
      <c r="F128" s="19">
        <v>0.62328910827636719</v>
      </c>
      <c r="G128" s="2">
        <v>1194</v>
      </c>
      <c r="H128" s="19">
        <v>0.69338393211364746</v>
      </c>
      <c r="I128" s="14">
        <f t="shared" si="1"/>
        <v>6.5420560747663545</v>
      </c>
      <c r="J128" s="31"/>
      <c r="K128" s="25">
        <v>989.12406505445415</v>
      </c>
      <c r="L128" s="19">
        <v>0.59141802787780762</v>
      </c>
      <c r="M128" s="23">
        <v>967.41529224527426</v>
      </c>
      <c r="N128" s="19">
        <v>0.50066065788269043</v>
      </c>
      <c r="O128" s="23">
        <v>954.40760104203798</v>
      </c>
      <c r="P128" s="26">
        <v>0.51966071128845215</v>
      </c>
    </row>
    <row r="129" spans="1:16" x14ac:dyDescent="0.3">
      <c r="A129" s="30" t="s">
        <v>130</v>
      </c>
      <c r="B129" s="3">
        <v>1284</v>
      </c>
      <c r="C129" s="2">
        <v>1224</v>
      </c>
      <c r="D129" s="19">
        <v>0.79192662239074707</v>
      </c>
      <c r="E129" s="2">
        <v>1230</v>
      </c>
      <c r="F129" s="19">
        <v>0.65596985816955566</v>
      </c>
      <c r="G129" s="2">
        <v>1236</v>
      </c>
      <c r="H129" s="19">
        <v>0.80708169937133789</v>
      </c>
      <c r="I129" s="14">
        <f t="shared" si="1"/>
        <v>3.7383177570093453</v>
      </c>
      <c r="J129" s="31"/>
      <c r="K129" s="25">
        <v>994.17164069213811</v>
      </c>
      <c r="L129" s="19">
        <v>0.54155111312866211</v>
      </c>
      <c r="M129" s="23">
        <v>964.63733033784843</v>
      </c>
      <c r="N129" s="19">
        <v>0.49086475372314448</v>
      </c>
      <c r="O129" s="23">
        <v>954.08012869557729</v>
      </c>
      <c r="P129" s="26">
        <v>0.54408693313598633</v>
      </c>
    </row>
    <row r="130" spans="1:16" x14ac:dyDescent="0.3">
      <c r="A130" s="30" t="s">
        <v>131</v>
      </c>
      <c r="B130" s="3">
        <v>1284</v>
      </c>
      <c r="C130" s="2">
        <v>1224</v>
      </c>
      <c r="D130" s="19">
        <v>0.81502056121826172</v>
      </c>
      <c r="E130" s="2">
        <v>1218</v>
      </c>
      <c r="F130" s="19">
        <v>0.61794185638427734</v>
      </c>
      <c r="G130" s="2">
        <v>1212</v>
      </c>
      <c r="H130" s="19">
        <v>0.69831347465515137</v>
      </c>
      <c r="I130" s="14">
        <f t="shared" si="1"/>
        <v>4.6728971962616823</v>
      </c>
      <c r="J130" s="31"/>
      <c r="K130" s="25">
        <v>988.99108078714448</v>
      </c>
      <c r="L130" s="19">
        <v>0.58443641662597656</v>
      </c>
      <c r="M130" s="23">
        <v>959.62346195146131</v>
      </c>
      <c r="N130" s="19">
        <v>0.53357315063476563</v>
      </c>
      <c r="O130" s="23">
        <v>936.8421936778027</v>
      </c>
      <c r="P130" s="26">
        <v>0.62034511566162109</v>
      </c>
    </row>
    <row r="131" spans="1:16" x14ac:dyDescent="0.3">
      <c r="A131" s="30" t="s">
        <v>132</v>
      </c>
      <c r="B131" s="3">
        <v>1284</v>
      </c>
      <c r="C131" s="2">
        <v>1236</v>
      </c>
      <c r="D131" s="19">
        <v>0.84101629257202148</v>
      </c>
      <c r="E131" s="2">
        <v>1230</v>
      </c>
      <c r="F131" s="19">
        <v>0.71811628341674805</v>
      </c>
      <c r="G131" s="2">
        <v>1242</v>
      </c>
      <c r="H131" s="19">
        <v>0.69029092788696289</v>
      </c>
      <c r="I131" s="14">
        <f t="shared" si="1"/>
        <v>3.2710280373831773</v>
      </c>
      <c r="J131" s="31"/>
      <c r="K131" s="25">
        <v>1006.0300690725491</v>
      </c>
      <c r="L131" s="19">
        <v>0.61422419548034668</v>
      </c>
      <c r="M131" s="23">
        <v>955.1369715871956</v>
      </c>
      <c r="N131" s="19">
        <v>0.52196764945983887</v>
      </c>
      <c r="O131" s="23">
        <v>937.22509233127857</v>
      </c>
      <c r="P131" s="26">
        <v>0.62749099731445313</v>
      </c>
    </row>
    <row r="132" spans="1:16" x14ac:dyDescent="0.3">
      <c r="A132" s="30" t="s">
        <v>133</v>
      </c>
      <c r="B132" s="3">
        <v>575</v>
      </c>
      <c r="C132" s="2">
        <v>560</v>
      </c>
      <c r="D132" s="19">
        <v>0.35210943222045898</v>
      </c>
      <c r="E132" s="2">
        <v>560</v>
      </c>
      <c r="F132" s="19">
        <v>0.23723006248474121</v>
      </c>
      <c r="G132" s="2">
        <v>570</v>
      </c>
      <c r="H132" s="19">
        <v>0.28224396705627441</v>
      </c>
      <c r="I132" s="14">
        <f t="shared" ref="I132:I195" si="2">((B132-MAX(C132,E132,G132))/B132)*100</f>
        <v>0.86956521739130432</v>
      </c>
      <c r="J132" s="31"/>
      <c r="K132" s="25">
        <v>477.1050908693731</v>
      </c>
      <c r="L132" s="19">
        <v>0.25232481956481928</v>
      </c>
      <c r="M132" s="23">
        <v>476.90085830748478</v>
      </c>
      <c r="N132" s="19">
        <v>0.2174181938171387</v>
      </c>
      <c r="O132" s="23">
        <v>453.04237457692739</v>
      </c>
      <c r="P132" s="26">
        <v>0.21043634414672849</v>
      </c>
    </row>
    <row r="133" spans="1:16" x14ac:dyDescent="0.3">
      <c r="A133" s="30" t="s">
        <v>134</v>
      </c>
      <c r="B133" s="3">
        <v>575</v>
      </c>
      <c r="C133" s="2">
        <v>570</v>
      </c>
      <c r="D133" s="19">
        <v>0.41246509552001948</v>
      </c>
      <c r="E133" s="2">
        <v>570</v>
      </c>
      <c r="F133" s="19">
        <v>0.24988627433776861</v>
      </c>
      <c r="G133" s="2">
        <v>570</v>
      </c>
      <c r="H133" s="19">
        <v>0.32643318176269531</v>
      </c>
      <c r="I133" s="14">
        <f t="shared" si="2"/>
        <v>0.86956521739130432</v>
      </c>
      <c r="J133" s="31"/>
      <c r="K133" s="25">
        <v>464.65575068503898</v>
      </c>
      <c r="L133" s="19">
        <v>0.25830960273742681</v>
      </c>
      <c r="M133" s="23">
        <v>464.44483453288541</v>
      </c>
      <c r="N133" s="19">
        <v>0.228388786315918</v>
      </c>
      <c r="O133" s="23">
        <v>478.87733404665568</v>
      </c>
      <c r="P133" s="26">
        <v>0.262298583984375</v>
      </c>
    </row>
    <row r="134" spans="1:16" x14ac:dyDescent="0.3">
      <c r="A134" s="30" t="s">
        <v>135</v>
      </c>
      <c r="B134" s="3">
        <v>575</v>
      </c>
      <c r="C134" s="2">
        <v>570</v>
      </c>
      <c r="D134" s="19">
        <v>0.40381550788879389</v>
      </c>
      <c r="E134" s="2">
        <v>570</v>
      </c>
      <c r="F134" s="19">
        <v>0.26665806770324713</v>
      </c>
      <c r="G134" s="2">
        <v>570</v>
      </c>
      <c r="H134" s="19">
        <v>0.25513267517089838</v>
      </c>
      <c r="I134" s="14">
        <f t="shared" si="2"/>
        <v>0.86956521739130432</v>
      </c>
      <c r="J134" s="31"/>
      <c r="K134" s="25">
        <v>487.36742639980378</v>
      </c>
      <c r="L134" s="19">
        <v>0.25169634819030762</v>
      </c>
      <c r="M134" s="23">
        <v>487.36742639980378</v>
      </c>
      <c r="N134" s="19">
        <v>0.24709081649780271</v>
      </c>
      <c r="O134" s="23">
        <v>487.36742639980378</v>
      </c>
      <c r="P134" s="26">
        <v>0.23988509178161621</v>
      </c>
    </row>
    <row r="135" spans="1:16" x14ac:dyDescent="0.3">
      <c r="A135" s="30" t="s">
        <v>136</v>
      </c>
      <c r="B135" s="3">
        <v>575</v>
      </c>
      <c r="C135" s="2">
        <v>570</v>
      </c>
      <c r="D135" s="19">
        <v>0.3698880672454834</v>
      </c>
      <c r="E135" s="2">
        <v>570</v>
      </c>
      <c r="F135" s="19">
        <v>0.2429463863372803</v>
      </c>
      <c r="G135" s="2">
        <v>570</v>
      </c>
      <c r="H135" s="19">
        <v>0.28688669204711909</v>
      </c>
      <c r="I135" s="14">
        <f t="shared" si="2"/>
        <v>0.86956521739130432</v>
      </c>
      <c r="J135" s="31"/>
      <c r="K135" s="25">
        <v>489.66073048939143</v>
      </c>
      <c r="L135" s="19">
        <v>0.24833464622497561</v>
      </c>
      <c r="M135" s="23">
        <v>473.97537159853431</v>
      </c>
      <c r="N135" s="19">
        <v>0.24753069877624509</v>
      </c>
      <c r="O135" s="23">
        <v>489.66073048939143</v>
      </c>
      <c r="P135" s="26">
        <v>0.23987603187561041</v>
      </c>
    </row>
    <row r="136" spans="1:16" x14ac:dyDescent="0.3">
      <c r="A136" s="30" t="s">
        <v>137</v>
      </c>
      <c r="B136" s="3">
        <v>575</v>
      </c>
      <c r="C136" s="2">
        <v>570</v>
      </c>
      <c r="D136" s="19">
        <v>0.37917232513427729</v>
      </c>
      <c r="E136" s="2">
        <v>570</v>
      </c>
      <c r="F136" s="19">
        <v>0.25588512420654302</v>
      </c>
      <c r="G136" s="2">
        <v>570</v>
      </c>
      <c r="H136" s="19">
        <v>0.26418828964233398</v>
      </c>
      <c r="I136" s="14">
        <f t="shared" si="2"/>
        <v>0.86956521739130432</v>
      </c>
      <c r="J136" s="31"/>
      <c r="K136" s="25">
        <v>480.08485930411842</v>
      </c>
      <c r="L136" s="19">
        <v>0.25631427764892578</v>
      </c>
      <c r="M136" s="23">
        <v>480.08485930411842</v>
      </c>
      <c r="N136" s="19">
        <v>0.2513272762298584</v>
      </c>
      <c r="O136" s="23">
        <v>480.08485930411842</v>
      </c>
      <c r="P136" s="26">
        <v>0.25132632255554199</v>
      </c>
    </row>
    <row r="137" spans="1:16" x14ac:dyDescent="0.3">
      <c r="A137" s="30" t="s">
        <v>138</v>
      </c>
      <c r="B137" s="3">
        <v>650</v>
      </c>
      <c r="C137" s="2">
        <v>640</v>
      </c>
      <c r="D137" s="19">
        <v>0.40291810035705572</v>
      </c>
      <c r="E137" s="2">
        <v>640</v>
      </c>
      <c r="F137" s="19">
        <v>0.23550081253051761</v>
      </c>
      <c r="G137" s="2">
        <v>640</v>
      </c>
      <c r="H137" s="19">
        <v>0.27518606185913091</v>
      </c>
      <c r="I137" s="14">
        <f t="shared" si="2"/>
        <v>1.5384615384615385</v>
      </c>
      <c r="J137" s="31"/>
      <c r="K137" s="25">
        <v>540.59090102225809</v>
      </c>
      <c r="L137" s="19">
        <v>0.2423512935638428</v>
      </c>
      <c r="M137" s="23">
        <v>515.32565922197921</v>
      </c>
      <c r="N137" s="19">
        <v>0.22739171981811521</v>
      </c>
      <c r="O137" s="23">
        <v>513.01370181261655</v>
      </c>
      <c r="P137" s="26">
        <v>0.22041010856628421</v>
      </c>
    </row>
    <row r="138" spans="1:16" x14ac:dyDescent="0.3">
      <c r="A138" s="30" t="s">
        <v>139</v>
      </c>
      <c r="B138" s="3">
        <v>650</v>
      </c>
      <c r="C138" s="2">
        <v>640</v>
      </c>
      <c r="D138" s="19">
        <v>0.35365486145019531</v>
      </c>
      <c r="E138" s="2">
        <v>645</v>
      </c>
      <c r="F138" s="19">
        <v>0.28129172325134277</v>
      </c>
      <c r="G138" s="2">
        <v>640</v>
      </c>
      <c r="H138" s="19">
        <v>0.29573559761047358</v>
      </c>
      <c r="I138" s="14">
        <f t="shared" si="2"/>
        <v>0.76923076923076927</v>
      </c>
      <c r="J138" s="31"/>
      <c r="K138" s="25">
        <v>550.51074276922043</v>
      </c>
      <c r="L138" s="19">
        <v>0.2504734992980957</v>
      </c>
      <c r="M138" s="23">
        <v>550.51074276922043</v>
      </c>
      <c r="N138" s="19">
        <v>0.24390459060668951</v>
      </c>
      <c r="O138" s="23">
        <v>550.51074276922043</v>
      </c>
      <c r="P138" s="26">
        <v>0.24187684059143069</v>
      </c>
    </row>
    <row r="139" spans="1:16" x14ac:dyDescent="0.3">
      <c r="A139" s="30" t="s">
        <v>140</v>
      </c>
      <c r="B139" s="3">
        <v>650</v>
      </c>
      <c r="C139" s="2">
        <v>640</v>
      </c>
      <c r="D139" s="19">
        <v>0.41533470153808588</v>
      </c>
      <c r="E139" s="2">
        <v>645</v>
      </c>
      <c r="F139" s="19">
        <v>0.31624007225036621</v>
      </c>
      <c r="G139" s="2">
        <v>645</v>
      </c>
      <c r="H139" s="19">
        <v>0.27526283264160162</v>
      </c>
      <c r="I139" s="14">
        <f t="shared" si="2"/>
        <v>0.76923076923076927</v>
      </c>
      <c r="J139" s="31"/>
      <c r="K139" s="25">
        <v>546.13875567754758</v>
      </c>
      <c r="L139" s="19">
        <v>0.26030302047729492</v>
      </c>
      <c r="M139" s="23">
        <v>536.47301088675067</v>
      </c>
      <c r="N139" s="19">
        <v>0.25285148620605469</v>
      </c>
      <c r="O139" s="23">
        <v>555.63183551279917</v>
      </c>
      <c r="P139" s="26">
        <v>0.2483820915222168</v>
      </c>
    </row>
    <row r="140" spans="1:16" x14ac:dyDescent="0.3">
      <c r="A140" s="30" t="s">
        <v>141</v>
      </c>
      <c r="B140" s="3">
        <v>650</v>
      </c>
      <c r="C140" s="2">
        <v>640</v>
      </c>
      <c r="D140" s="19">
        <v>0.40635561943054199</v>
      </c>
      <c r="E140" s="2">
        <v>645</v>
      </c>
      <c r="F140" s="19">
        <v>0.27692413330078119</v>
      </c>
      <c r="G140" s="2">
        <v>640</v>
      </c>
      <c r="H140" s="19">
        <v>0.26898813247680659</v>
      </c>
      <c r="I140" s="14">
        <f t="shared" si="2"/>
        <v>0.76923076923076927</v>
      </c>
      <c r="J140" s="31"/>
      <c r="K140" s="25">
        <v>532.60996035524954</v>
      </c>
      <c r="L140" s="19">
        <v>0.26329493522644037</v>
      </c>
      <c r="M140" s="23">
        <v>518.45740407321534</v>
      </c>
      <c r="N140" s="19">
        <v>0.2543189525604248</v>
      </c>
      <c r="O140" s="23">
        <v>541.42238211042138</v>
      </c>
      <c r="P140" s="26">
        <v>0.25531649589538569</v>
      </c>
    </row>
    <row r="141" spans="1:16" x14ac:dyDescent="0.3">
      <c r="A141" s="30" t="s">
        <v>142</v>
      </c>
      <c r="B141" s="3">
        <v>650</v>
      </c>
      <c r="C141" s="2">
        <v>640</v>
      </c>
      <c r="D141" s="19">
        <v>0.41897177696228027</v>
      </c>
      <c r="E141" s="2">
        <v>645</v>
      </c>
      <c r="F141" s="19">
        <v>0.28300881385803223</v>
      </c>
      <c r="G141" s="2">
        <v>645</v>
      </c>
      <c r="H141" s="19">
        <v>0.34006881713867188</v>
      </c>
      <c r="I141" s="14">
        <f t="shared" si="2"/>
        <v>0.76923076923076927</v>
      </c>
      <c r="J141" s="31"/>
      <c r="K141" s="25">
        <v>554.18118760716038</v>
      </c>
      <c r="L141" s="19">
        <v>0.27381134033203119</v>
      </c>
      <c r="M141" s="23">
        <v>546.84032706153141</v>
      </c>
      <c r="N141" s="19">
        <v>0.2622992992401123</v>
      </c>
      <c r="O141" s="23">
        <v>554.49054512962744</v>
      </c>
      <c r="P141" s="26">
        <v>0.25830888748168951</v>
      </c>
    </row>
    <row r="142" spans="1:16" x14ac:dyDescent="0.3">
      <c r="A142" s="30" t="s">
        <v>143</v>
      </c>
      <c r="B142" s="3">
        <v>730</v>
      </c>
      <c r="C142" s="2">
        <v>655</v>
      </c>
      <c r="D142" s="19">
        <v>0.34901142120361328</v>
      </c>
      <c r="E142" s="2">
        <v>675</v>
      </c>
      <c r="F142" s="19">
        <v>0.27092623710632319</v>
      </c>
      <c r="G142" s="2">
        <v>665</v>
      </c>
      <c r="H142" s="19">
        <v>0.28423953056335449</v>
      </c>
      <c r="I142" s="14">
        <f t="shared" si="2"/>
        <v>7.5342465753424657</v>
      </c>
      <c r="J142" s="31"/>
      <c r="K142" s="25">
        <v>563.38672273715599</v>
      </c>
      <c r="L142" s="19">
        <v>0.25336790084838873</v>
      </c>
      <c r="M142" s="23">
        <v>548.06665959387976</v>
      </c>
      <c r="N142" s="19">
        <v>0.24275088310241699</v>
      </c>
      <c r="O142" s="23">
        <v>577.61299323889159</v>
      </c>
      <c r="P142" s="26">
        <v>0.2398946285247803</v>
      </c>
    </row>
    <row r="143" spans="1:16" x14ac:dyDescent="0.3">
      <c r="A143" s="30" t="s">
        <v>144</v>
      </c>
      <c r="B143" s="3">
        <v>730</v>
      </c>
      <c r="C143" s="2">
        <v>670</v>
      </c>
      <c r="D143" s="19">
        <v>0.41962099075317377</v>
      </c>
      <c r="E143" s="2">
        <v>680</v>
      </c>
      <c r="F143" s="19">
        <v>0.2730402946472168</v>
      </c>
      <c r="G143" s="2">
        <v>710</v>
      </c>
      <c r="H143" s="19">
        <v>0.28623390197753912</v>
      </c>
      <c r="I143" s="14">
        <f t="shared" si="2"/>
        <v>2.7397260273972601</v>
      </c>
      <c r="J143" s="31"/>
      <c r="K143" s="25">
        <v>585.84478688423224</v>
      </c>
      <c r="L143" s="19">
        <v>0.2622981071472168</v>
      </c>
      <c r="M143" s="23">
        <v>567.32242192461206</v>
      </c>
      <c r="N143" s="19">
        <v>0.2648155689239502</v>
      </c>
      <c r="O143" s="23">
        <v>609.89434530140431</v>
      </c>
      <c r="P143" s="26">
        <v>0.25557851791381841</v>
      </c>
    </row>
    <row r="144" spans="1:16" x14ac:dyDescent="0.3">
      <c r="A144" s="30" t="s">
        <v>145</v>
      </c>
      <c r="B144" s="3">
        <v>730</v>
      </c>
      <c r="C144" s="2">
        <v>710</v>
      </c>
      <c r="D144" s="19">
        <v>0.37235188484191889</v>
      </c>
      <c r="E144" s="2">
        <v>715</v>
      </c>
      <c r="F144" s="19">
        <v>0.28515005111694341</v>
      </c>
      <c r="G144" s="2">
        <v>715</v>
      </c>
      <c r="H144" s="19">
        <v>0.35243105888366699</v>
      </c>
      <c r="I144" s="14">
        <f t="shared" si="2"/>
        <v>2.054794520547945</v>
      </c>
      <c r="J144" s="31"/>
      <c r="K144" s="25">
        <v>608.26370996027549</v>
      </c>
      <c r="L144" s="19">
        <v>0.27227115631103521</v>
      </c>
      <c r="M144" s="23">
        <v>592.11227239735274</v>
      </c>
      <c r="N144" s="19">
        <v>0.26828193664550781</v>
      </c>
      <c r="O144" s="23">
        <v>597.32278697391394</v>
      </c>
      <c r="P144" s="26">
        <v>0.26628708839416498</v>
      </c>
    </row>
    <row r="145" spans="1:16" x14ac:dyDescent="0.3">
      <c r="A145" s="30" t="s">
        <v>146</v>
      </c>
      <c r="B145" s="3">
        <v>730</v>
      </c>
      <c r="C145" s="2">
        <v>670</v>
      </c>
      <c r="D145" s="19">
        <v>0.43843221664428711</v>
      </c>
      <c r="E145" s="2">
        <v>675</v>
      </c>
      <c r="F145" s="19">
        <v>0.29475879669189448</v>
      </c>
      <c r="G145" s="2">
        <v>675</v>
      </c>
      <c r="H145" s="19">
        <v>0.31746029853820801</v>
      </c>
      <c r="I145" s="14">
        <f t="shared" si="2"/>
        <v>7.5342465753424657</v>
      </c>
      <c r="J145" s="31"/>
      <c r="K145" s="25">
        <v>587.04407647778498</v>
      </c>
      <c r="L145" s="19">
        <v>0.27986383438110352</v>
      </c>
      <c r="M145" s="23">
        <v>591.3322272684801</v>
      </c>
      <c r="N145" s="19">
        <v>0.27127504348754877</v>
      </c>
      <c r="O145" s="23">
        <v>624.27534453436851</v>
      </c>
      <c r="P145" s="26">
        <v>0.26928043365478521</v>
      </c>
    </row>
    <row r="146" spans="1:16" x14ac:dyDescent="0.3">
      <c r="A146" s="30" t="s">
        <v>147</v>
      </c>
      <c r="B146" s="3">
        <v>730</v>
      </c>
      <c r="C146" s="2">
        <v>680</v>
      </c>
      <c r="D146" s="19">
        <v>0.4733736515045166</v>
      </c>
      <c r="E146" s="2">
        <v>685</v>
      </c>
      <c r="F146" s="19">
        <v>0.29002499580383301</v>
      </c>
      <c r="G146" s="2">
        <v>685</v>
      </c>
      <c r="H146" s="19">
        <v>0.2872312068939209</v>
      </c>
      <c r="I146" s="14">
        <f t="shared" si="2"/>
        <v>6.1643835616438354</v>
      </c>
      <c r="J146" s="31"/>
      <c r="K146" s="25">
        <v>572.64223811491922</v>
      </c>
      <c r="L146" s="19">
        <v>0.28627109527587891</v>
      </c>
      <c r="M146" s="23">
        <v>560.90589427367877</v>
      </c>
      <c r="N146" s="19">
        <v>0.28099393844604492</v>
      </c>
      <c r="O146" s="23">
        <v>577.7191786100193</v>
      </c>
      <c r="P146" s="26">
        <v>0.27887272834777832</v>
      </c>
    </row>
    <row r="147" spans="1:16" x14ac:dyDescent="0.3">
      <c r="A147" s="30" t="s">
        <v>148</v>
      </c>
      <c r="B147" s="3">
        <v>825</v>
      </c>
      <c r="C147" s="2">
        <v>780</v>
      </c>
      <c r="D147" s="19">
        <v>0.54892301559448242</v>
      </c>
      <c r="E147" s="2">
        <v>770</v>
      </c>
      <c r="F147" s="19">
        <v>0.30794930458068848</v>
      </c>
      <c r="G147" s="2">
        <v>820</v>
      </c>
      <c r="H147" s="19">
        <v>0.3151860237121582</v>
      </c>
      <c r="I147" s="14">
        <f t="shared" si="2"/>
        <v>0.60606060606060608</v>
      </c>
      <c r="J147" s="31"/>
      <c r="K147" s="25">
        <v>644.87493902739334</v>
      </c>
      <c r="L147" s="19">
        <v>0.26927947998046881</v>
      </c>
      <c r="M147" s="23">
        <v>648.15527087963733</v>
      </c>
      <c r="N147" s="19">
        <v>0.26034045219421392</v>
      </c>
      <c r="O147" s="23">
        <v>675.35757753945279</v>
      </c>
      <c r="P147" s="26">
        <v>0.26429295539855963</v>
      </c>
    </row>
    <row r="148" spans="1:16" x14ac:dyDescent="0.3">
      <c r="A148" s="30" t="s">
        <v>149</v>
      </c>
      <c r="B148" s="3">
        <v>825</v>
      </c>
      <c r="C148" s="2">
        <v>810</v>
      </c>
      <c r="D148" s="19">
        <v>0.77392292022705078</v>
      </c>
      <c r="E148" s="2">
        <v>810</v>
      </c>
      <c r="F148" s="19">
        <v>0.34699153900146479</v>
      </c>
      <c r="G148" s="2">
        <v>825</v>
      </c>
      <c r="H148" s="19">
        <v>0.28224492073059082</v>
      </c>
      <c r="I148" s="14">
        <f t="shared" si="2"/>
        <v>0</v>
      </c>
      <c r="J148" s="31"/>
      <c r="K148" s="25">
        <v>691.61587588947327</v>
      </c>
      <c r="L148" s="19">
        <v>0.28822875022888178</v>
      </c>
      <c r="M148" s="23">
        <v>672.17914840416529</v>
      </c>
      <c r="N148" s="19">
        <v>0.27426648139953608</v>
      </c>
      <c r="O148" s="23">
        <v>699.3810512455459</v>
      </c>
      <c r="P148" s="26">
        <v>0.27925276756286621</v>
      </c>
    </row>
    <row r="149" spans="1:16" x14ac:dyDescent="0.3">
      <c r="A149" s="30" t="s">
        <v>150</v>
      </c>
      <c r="B149" s="3">
        <v>825</v>
      </c>
      <c r="C149" s="2">
        <v>820</v>
      </c>
      <c r="D149" s="19">
        <v>0.63718557357788086</v>
      </c>
      <c r="E149" s="2">
        <v>820</v>
      </c>
      <c r="F149" s="19">
        <v>0.30397367477416992</v>
      </c>
      <c r="G149" s="2">
        <v>820</v>
      </c>
      <c r="H149" s="19">
        <v>0.32812762260437012</v>
      </c>
      <c r="I149" s="14">
        <f t="shared" si="2"/>
        <v>0.60606060606060608</v>
      </c>
      <c r="J149" s="31"/>
      <c r="K149" s="25">
        <v>687.17545153236927</v>
      </c>
      <c r="L149" s="19">
        <v>0.30423951148986822</v>
      </c>
      <c r="M149" s="23">
        <v>663.13010226287884</v>
      </c>
      <c r="N149" s="19">
        <v>0.28324198722839361</v>
      </c>
      <c r="O149" s="23">
        <v>718.44653240196646</v>
      </c>
      <c r="P149" s="26">
        <v>0.28224515914916992</v>
      </c>
    </row>
    <row r="150" spans="1:16" x14ac:dyDescent="0.3">
      <c r="A150" s="30" t="s">
        <v>151</v>
      </c>
      <c r="B150" s="3">
        <v>825</v>
      </c>
      <c r="C150" s="2">
        <v>820</v>
      </c>
      <c r="D150" s="19">
        <v>0.65260982513427734</v>
      </c>
      <c r="E150" s="2">
        <v>820</v>
      </c>
      <c r="F150" s="19">
        <v>0.31745791435241699</v>
      </c>
      <c r="G150" s="2">
        <v>825</v>
      </c>
      <c r="H150" s="19">
        <v>0.32220125198364258</v>
      </c>
      <c r="I150" s="14">
        <f t="shared" si="2"/>
        <v>0</v>
      </c>
      <c r="J150" s="31"/>
      <c r="K150" s="25">
        <v>707.35933887029387</v>
      </c>
      <c r="L150" s="19">
        <v>0.30618071556091309</v>
      </c>
      <c r="M150" s="23">
        <v>676.04077056546032</v>
      </c>
      <c r="N150" s="19">
        <v>0.3010406494140625</v>
      </c>
      <c r="O150" s="23">
        <v>707.35933887029387</v>
      </c>
      <c r="P150" s="26">
        <v>0.29883146286010742</v>
      </c>
    </row>
    <row r="151" spans="1:16" x14ac:dyDescent="0.3">
      <c r="A151" s="30" t="s">
        <v>152</v>
      </c>
      <c r="B151" s="3">
        <v>825</v>
      </c>
      <c r="C151" s="2">
        <v>820</v>
      </c>
      <c r="D151" s="19">
        <v>0.65305233001708984</v>
      </c>
      <c r="E151" s="2">
        <v>825</v>
      </c>
      <c r="F151" s="19">
        <v>0.33372759819030762</v>
      </c>
      <c r="G151" s="2">
        <v>820</v>
      </c>
      <c r="H151" s="19">
        <v>0.30222296714782709</v>
      </c>
      <c r="I151" s="14">
        <f t="shared" si="2"/>
        <v>0</v>
      </c>
      <c r="J151" s="31"/>
      <c r="K151" s="25">
        <v>684.51680777287027</v>
      </c>
      <c r="L151" s="19">
        <v>0.31016993522644037</v>
      </c>
      <c r="M151" s="23">
        <v>679.41475625400062</v>
      </c>
      <c r="N151" s="19">
        <v>0.30817580223083502</v>
      </c>
      <c r="O151" s="23">
        <v>705.93842301809377</v>
      </c>
      <c r="P151" s="26">
        <v>0.30019569396972662</v>
      </c>
    </row>
    <row r="152" spans="1:16" x14ac:dyDescent="0.3">
      <c r="A152" s="30" t="s">
        <v>153</v>
      </c>
      <c r="B152" s="3">
        <v>915</v>
      </c>
      <c r="C152" s="2">
        <v>865</v>
      </c>
      <c r="D152" s="19">
        <v>0.59256410598754883</v>
      </c>
      <c r="E152" s="2">
        <v>900</v>
      </c>
      <c r="F152" s="19">
        <v>0.28622531890869141</v>
      </c>
      <c r="G152" s="2">
        <v>885</v>
      </c>
      <c r="H152" s="19">
        <v>0.40092754364013672</v>
      </c>
      <c r="I152" s="14">
        <f t="shared" si="2"/>
        <v>1.639344262295082</v>
      </c>
      <c r="J152" s="31"/>
      <c r="K152" s="25">
        <v>755.15197083608382</v>
      </c>
      <c r="L152" s="19">
        <v>0.28512096405029302</v>
      </c>
      <c r="M152" s="23">
        <v>755.02864948146919</v>
      </c>
      <c r="N152" s="19">
        <v>0.2762610912322998</v>
      </c>
      <c r="O152" s="23">
        <v>765.11207681081464</v>
      </c>
      <c r="P152" s="26">
        <v>0.40790867805480963</v>
      </c>
    </row>
    <row r="153" spans="1:16" x14ac:dyDescent="0.3">
      <c r="A153" s="30" t="s">
        <v>154</v>
      </c>
      <c r="B153" s="3">
        <v>915</v>
      </c>
      <c r="C153" s="2">
        <v>885</v>
      </c>
      <c r="D153" s="19">
        <v>0.61394023895263672</v>
      </c>
      <c r="E153" s="2">
        <v>885</v>
      </c>
      <c r="F153" s="19">
        <v>0.29904961585998541</v>
      </c>
      <c r="G153" s="2">
        <v>885</v>
      </c>
      <c r="H153" s="19">
        <v>0.27795648574829102</v>
      </c>
      <c r="I153" s="14">
        <f t="shared" si="2"/>
        <v>3.278688524590164</v>
      </c>
      <c r="J153" s="31"/>
      <c r="K153" s="25">
        <v>758.9518296833312</v>
      </c>
      <c r="L153" s="19">
        <v>0.34008955955505371</v>
      </c>
      <c r="M153" s="23">
        <v>731.63597237153385</v>
      </c>
      <c r="N153" s="19">
        <v>0.29374313354492188</v>
      </c>
      <c r="O153" s="23">
        <v>768.24240875143732</v>
      </c>
      <c r="P153" s="26">
        <v>0.3651573657989502</v>
      </c>
    </row>
    <row r="154" spans="1:16" x14ac:dyDescent="0.3">
      <c r="A154" s="30" t="s">
        <v>155</v>
      </c>
      <c r="B154" s="3">
        <v>915</v>
      </c>
      <c r="C154" s="2">
        <v>900</v>
      </c>
      <c r="D154" s="19">
        <v>0.69536209106445313</v>
      </c>
      <c r="E154" s="2">
        <v>900</v>
      </c>
      <c r="F154" s="19">
        <v>0.31984400749206537</v>
      </c>
      <c r="G154" s="2">
        <v>885</v>
      </c>
      <c r="H154" s="19">
        <v>0.29855227470397949</v>
      </c>
      <c r="I154" s="14">
        <f t="shared" si="2"/>
        <v>1.639344262295082</v>
      </c>
      <c r="J154" s="31"/>
      <c r="K154" s="25">
        <v>773.48267644813541</v>
      </c>
      <c r="L154" s="19">
        <v>0.36402630805969238</v>
      </c>
      <c r="M154" s="23">
        <v>781.78613251288448</v>
      </c>
      <c r="N154" s="19">
        <v>0.30950236320495611</v>
      </c>
      <c r="O154" s="23">
        <v>781.78613251288448</v>
      </c>
      <c r="P154" s="26">
        <v>0.37399959564208979</v>
      </c>
    </row>
    <row r="155" spans="1:16" x14ac:dyDescent="0.3">
      <c r="A155" s="30" t="s">
        <v>156</v>
      </c>
      <c r="B155" s="3">
        <v>915</v>
      </c>
      <c r="C155" s="2">
        <v>865</v>
      </c>
      <c r="D155" s="19">
        <v>0.4460146427154541</v>
      </c>
      <c r="E155" s="2">
        <v>890</v>
      </c>
      <c r="F155" s="19">
        <v>0.37961530685424799</v>
      </c>
      <c r="G155" s="2">
        <v>860</v>
      </c>
      <c r="H155" s="19">
        <v>0.37898612022399902</v>
      </c>
      <c r="I155" s="14">
        <f t="shared" si="2"/>
        <v>2.7322404371584699</v>
      </c>
      <c r="J155" s="31"/>
      <c r="K155" s="25">
        <v>760.83049778867064</v>
      </c>
      <c r="L155" s="19">
        <v>0.32544684410095209</v>
      </c>
      <c r="M155" s="23">
        <v>713.8530694288886</v>
      </c>
      <c r="N155" s="19">
        <v>0.31415820121765142</v>
      </c>
      <c r="O155" s="23">
        <v>744.9987092441944</v>
      </c>
      <c r="P155" s="26">
        <v>0.3479161262512207</v>
      </c>
    </row>
    <row r="156" spans="1:16" x14ac:dyDescent="0.3">
      <c r="A156" s="30" t="s">
        <v>157</v>
      </c>
      <c r="B156" s="3">
        <v>915</v>
      </c>
      <c r="C156" s="2">
        <v>885</v>
      </c>
      <c r="D156" s="19">
        <v>0.46825027465820313</v>
      </c>
      <c r="E156" s="2">
        <v>900</v>
      </c>
      <c r="F156" s="19">
        <v>0.49935317039489752</v>
      </c>
      <c r="G156" s="2">
        <v>890</v>
      </c>
      <c r="H156" s="19">
        <v>0.41910839080810552</v>
      </c>
      <c r="I156" s="14">
        <f t="shared" si="2"/>
        <v>1.639344262295082</v>
      </c>
      <c r="J156" s="31"/>
      <c r="K156" s="25">
        <v>754.08170061837757</v>
      </c>
      <c r="L156" s="19">
        <v>0.32213759422302252</v>
      </c>
      <c r="M156" s="23">
        <v>753.39530126224849</v>
      </c>
      <c r="N156" s="19">
        <v>0.31531119346618652</v>
      </c>
      <c r="O156" s="23">
        <v>785.97877621194436</v>
      </c>
      <c r="P156" s="26">
        <v>0.36754179000854492</v>
      </c>
    </row>
    <row r="157" spans="1:16" x14ac:dyDescent="0.3">
      <c r="A157" s="30" t="s">
        <v>158</v>
      </c>
      <c r="B157" s="3">
        <v>1670</v>
      </c>
      <c r="C157" s="2">
        <v>1575</v>
      </c>
      <c r="D157" s="19">
        <v>0.84885525703430176</v>
      </c>
      <c r="E157" s="2">
        <v>1580</v>
      </c>
      <c r="F157" s="19">
        <v>0.63462305068969727</v>
      </c>
      <c r="G157" s="2">
        <v>1585</v>
      </c>
      <c r="H157" s="19">
        <v>0.7071077823638916</v>
      </c>
      <c r="I157" s="14">
        <f t="shared" si="2"/>
        <v>5.0898203592814371</v>
      </c>
      <c r="J157" s="31"/>
      <c r="K157" s="25">
        <v>1383.389196512227</v>
      </c>
      <c r="L157" s="19">
        <v>0.58296775817871094</v>
      </c>
      <c r="M157" s="23">
        <v>1380.3997223638769</v>
      </c>
      <c r="N157" s="19">
        <v>0.5675811767578125</v>
      </c>
      <c r="O157" s="23">
        <v>1411.9498491947461</v>
      </c>
      <c r="P157" s="26">
        <v>0.65280914306640625</v>
      </c>
    </row>
    <row r="158" spans="1:16" x14ac:dyDescent="0.3">
      <c r="A158" s="30" t="s">
        <v>159</v>
      </c>
      <c r="B158" s="3">
        <v>1670</v>
      </c>
      <c r="C158" s="2">
        <v>1600</v>
      </c>
      <c r="D158" s="19">
        <v>0.66608476638793945</v>
      </c>
      <c r="E158" s="2">
        <v>1605</v>
      </c>
      <c r="F158" s="19">
        <v>0.51278853416442871</v>
      </c>
      <c r="G158" s="2">
        <v>1580</v>
      </c>
      <c r="H158" s="19">
        <v>0.54513025283813477</v>
      </c>
      <c r="I158" s="14">
        <f t="shared" si="2"/>
        <v>3.8922155688622757</v>
      </c>
      <c r="J158" s="31"/>
      <c r="K158" s="25">
        <v>1395.2066043944301</v>
      </c>
      <c r="L158" s="19">
        <v>0.46228313446044922</v>
      </c>
      <c r="M158" s="23">
        <v>1395.239997914796</v>
      </c>
      <c r="N158" s="19">
        <v>0.44234752655029302</v>
      </c>
      <c r="O158" s="23">
        <v>1424.1050574456799</v>
      </c>
      <c r="P158" s="26">
        <v>0.53161978721618652</v>
      </c>
    </row>
    <row r="159" spans="1:16" x14ac:dyDescent="0.3">
      <c r="A159" s="30" t="s">
        <v>160</v>
      </c>
      <c r="B159" s="3">
        <v>1670</v>
      </c>
      <c r="C159" s="2">
        <v>1570</v>
      </c>
      <c r="D159" s="19">
        <v>0.69226527214050293</v>
      </c>
      <c r="E159" s="2">
        <v>1585</v>
      </c>
      <c r="F159" s="19">
        <v>0.58064627647399902</v>
      </c>
      <c r="G159" s="2">
        <v>1595</v>
      </c>
      <c r="H159" s="19">
        <v>0.56500530242919922</v>
      </c>
      <c r="I159" s="14">
        <f t="shared" si="2"/>
        <v>4.4910179640718564</v>
      </c>
      <c r="J159" s="31"/>
      <c r="K159" s="25">
        <v>1379.3131311955931</v>
      </c>
      <c r="L159" s="19">
        <v>0.47178196907043463</v>
      </c>
      <c r="M159" s="23">
        <v>1348.176283242414</v>
      </c>
      <c r="N159" s="19">
        <v>0.44863343238830572</v>
      </c>
      <c r="O159" s="23">
        <v>1367.809494135598</v>
      </c>
      <c r="P159" s="26">
        <v>0.45110154151916498</v>
      </c>
    </row>
    <row r="160" spans="1:16" x14ac:dyDescent="0.3">
      <c r="A160" s="30" t="s">
        <v>161</v>
      </c>
      <c r="B160" s="3">
        <v>1670</v>
      </c>
      <c r="C160" s="2">
        <v>1545</v>
      </c>
      <c r="D160" s="19">
        <v>0.73940348625183105</v>
      </c>
      <c r="E160" s="2">
        <v>1580</v>
      </c>
      <c r="F160" s="19">
        <v>0.68129897117614746</v>
      </c>
      <c r="G160" s="2">
        <v>1555</v>
      </c>
      <c r="H160" s="19">
        <v>0.51521801948547363</v>
      </c>
      <c r="I160" s="14">
        <f t="shared" si="2"/>
        <v>5.3892215568862278</v>
      </c>
      <c r="J160" s="31"/>
      <c r="K160" s="25">
        <v>1365.460851941443</v>
      </c>
      <c r="L160" s="19">
        <v>0.49990153312683111</v>
      </c>
      <c r="M160" s="23">
        <v>1329.6696978272339</v>
      </c>
      <c r="N160" s="19">
        <v>0.45877265930175781</v>
      </c>
      <c r="O160" s="23">
        <v>1382.3479383421461</v>
      </c>
      <c r="P160" s="26">
        <v>0.54207682609558105</v>
      </c>
    </row>
    <row r="161" spans="1:16" x14ac:dyDescent="0.3">
      <c r="A161" s="30" t="s">
        <v>162</v>
      </c>
      <c r="B161" s="3">
        <v>1670</v>
      </c>
      <c r="C161" s="2">
        <v>1595</v>
      </c>
      <c r="D161" s="19">
        <v>0.74895429611206055</v>
      </c>
      <c r="E161" s="2">
        <v>1620</v>
      </c>
      <c r="F161" s="19">
        <v>0.68016219139099121</v>
      </c>
      <c r="G161" s="2">
        <v>1605</v>
      </c>
      <c r="H161" s="19">
        <v>0.55264377593994141</v>
      </c>
      <c r="I161" s="14">
        <f t="shared" si="2"/>
        <v>2.9940119760479043</v>
      </c>
      <c r="J161" s="31"/>
      <c r="K161" s="25">
        <v>1418.629830379648</v>
      </c>
      <c r="L161" s="19">
        <v>0.54762625694274902</v>
      </c>
      <c r="M161" s="23">
        <v>1388.834558636408</v>
      </c>
      <c r="N161" s="19">
        <v>0.4958648681640625</v>
      </c>
      <c r="O161" s="23">
        <v>1427.3048944583229</v>
      </c>
      <c r="P161" s="26">
        <v>0.56676745414733887</v>
      </c>
    </row>
    <row r="162" spans="1:16" x14ac:dyDescent="0.3">
      <c r="A162" s="30" t="s">
        <v>163</v>
      </c>
      <c r="B162" s="3">
        <v>1670</v>
      </c>
      <c r="C162" s="2">
        <v>1605</v>
      </c>
      <c r="D162" s="19">
        <v>0.7624821662902832</v>
      </c>
      <c r="E162" s="2">
        <v>1595</v>
      </c>
      <c r="F162" s="19">
        <v>0.62699627876281738</v>
      </c>
      <c r="G162" s="2">
        <v>1590</v>
      </c>
      <c r="H162" s="19">
        <v>0.53661608695983887</v>
      </c>
      <c r="I162" s="14">
        <f t="shared" si="2"/>
        <v>3.8922155688622757</v>
      </c>
      <c r="J162" s="31"/>
      <c r="K162" s="25">
        <v>1380.733991243739</v>
      </c>
      <c r="L162" s="19">
        <v>0.5485692024230957</v>
      </c>
      <c r="M162" s="23">
        <v>1380.7261354212101</v>
      </c>
      <c r="N162" s="19">
        <v>0.48669838905334473</v>
      </c>
      <c r="O162" s="23">
        <v>1390.237894796132</v>
      </c>
      <c r="P162" s="26">
        <v>0.50764203071594238</v>
      </c>
    </row>
    <row r="163" spans="1:16" x14ac:dyDescent="0.3">
      <c r="A163" s="30" t="s">
        <v>164</v>
      </c>
      <c r="B163" s="3">
        <v>1670</v>
      </c>
      <c r="C163" s="2">
        <v>1630</v>
      </c>
      <c r="D163" s="19">
        <v>0.82837104797363281</v>
      </c>
      <c r="E163" s="2">
        <v>1620</v>
      </c>
      <c r="F163" s="19">
        <v>0.81903886795043945</v>
      </c>
      <c r="G163" s="2">
        <v>1610</v>
      </c>
      <c r="H163" s="19">
        <v>0.85359477996826172</v>
      </c>
      <c r="I163" s="14">
        <f t="shared" si="2"/>
        <v>2.3952095808383236</v>
      </c>
      <c r="J163" s="31"/>
      <c r="K163" s="25">
        <v>1409.7556150587559</v>
      </c>
      <c r="L163" s="19">
        <v>0.61418700218200684</v>
      </c>
      <c r="M163" s="23">
        <v>1394.3470369918441</v>
      </c>
      <c r="N163" s="19">
        <v>0.54857873916625977</v>
      </c>
      <c r="O163" s="23">
        <v>1409.2801370079781</v>
      </c>
      <c r="P163" s="26">
        <v>0.55936360359191895</v>
      </c>
    </row>
    <row r="164" spans="1:16" x14ac:dyDescent="0.3">
      <c r="A164" s="30" t="s">
        <v>165</v>
      </c>
      <c r="B164" s="3">
        <v>1670</v>
      </c>
      <c r="C164" s="2">
        <v>1585</v>
      </c>
      <c r="D164" s="19">
        <v>0.8549811840057373</v>
      </c>
      <c r="E164" s="2">
        <v>1600</v>
      </c>
      <c r="F164" s="19">
        <v>0.75044631958007813</v>
      </c>
      <c r="G164" s="2">
        <v>1595</v>
      </c>
      <c r="H164" s="19">
        <v>1.621932744979858</v>
      </c>
      <c r="I164" s="14">
        <f t="shared" si="2"/>
        <v>4.1916167664670656</v>
      </c>
      <c r="J164" s="31"/>
      <c r="K164" s="25">
        <v>1423.021729746599</v>
      </c>
      <c r="L164" s="19">
        <v>0.63030862808227539</v>
      </c>
      <c r="M164" s="23">
        <v>1393.991459507105</v>
      </c>
      <c r="N164" s="19">
        <v>0.55612754821777344</v>
      </c>
      <c r="O164" s="23">
        <v>1408.5710475094511</v>
      </c>
      <c r="P164" s="26">
        <v>0.57645797729492188</v>
      </c>
    </row>
    <row r="165" spans="1:16" x14ac:dyDescent="0.3">
      <c r="A165" s="30" t="s">
        <v>166</v>
      </c>
      <c r="B165" s="3">
        <v>1670</v>
      </c>
      <c r="C165" s="2">
        <v>1605</v>
      </c>
      <c r="D165" s="19">
        <v>0.89009904861450195</v>
      </c>
      <c r="E165" s="2">
        <v>1610</v>
      </c>
      <c r="F165" s="19">
        <v>0.8519279956817627</v>
      </c>
      <c r="G165" s="2">
        <v>1605</v>
      </c>
      <c r="H165" s="19">
        <v>0.90422630310058594</v>
      </c>
      <c r="I165" s="14">
        <f t="shared" si="2"/>
        <v>3.5928143712574849</v>
      </c>
      <c r="J165" s="31"/>
      <c r="K165" s="25">
        <v>1415.6722637884691</v>
      </c>
      <c r="L165" s="19">
        <v>0.64204192161560059</v>
      </c>
      <c r="M165" s="23">
        <v>1395.9150538818569</v>
      </c>
      <c r="N165" s="19">
        <v>0.60000371932983398</v>
      </c>
      <c r="O165" s="23">
        <v>1410.5210705778859</v>
      </c>
      <c r="P165" s="26">
        <v>0.58141994476318359</v>
      </c>
    </row>
    <row r="166" spans="1:16" x14ac:dyDescent="0.3">
      <c r="A166" s="30" t="s">
        <v>167</v>
      </c>
      <c r="B166" s="3">
        <v>1670</v>
      </c>
      <c r="C166" s="2">
        <v>1585</v>
      </c>
      <c r="D166" s="19">
        <v>0.87636780738830566</v>
      </c>
      <c r="E166" s="2">
        <v>1625</v>
      </c>
      <c r="F166" s="19">
        <v>0.96700835227966309</v>
      </c>
      <c r="G166" s="2">
        <v>1600</v>
      </c>
      <c r="H166" s="19">
        <v>1.311281204223633</v>
      </c>
      <c r="I166" s="14">
        <f t="shared" si="2"/>
        <v>2.6946107784431139</v>
      </c>
      <c r="J166" s="31"/>
      <c r="K166" s="25">
        <v>1416.488720075361</v>
      </c>
      <c r="L166" s="19">
        <v>0.65398383140563965</v>
      </c>
      <c r="M166" s="23">
        <v>1411.853752288959</v>
      </c>
      <c r="N166" s="19">
        <v>0.58147358894348145</v>
      </c>
      <c r="O166" s="23">
        <v>1430.6131597912999</v>
      </c>
      <c r="P166" s="26">
        <v>0.60991859436035156</v>
      </c>
    </row>
    <row r="167" spans="1:16" x14ac:dyDescent="0.3">
      <c r="A167" s="30" t="s">
        <v>168</v>
      </c>
      <c r="B167" s="3">
        <v>1670</v>
      </c>
      <c r="C167" s="2">
        <v>1575</v>
      </c>
      <c r="D167" s="19">
        <v>0.90126132965087891</v>
      </c>
      <c r="E167" s="2">
        <v>1605</v>
      </c>
      <c r="F167" s="19">
        <v>0.8096473217010498</v>
      </c>
      <c r="G167" s="2">
        <v>1600</v>
      </c>
      <c r="H167" s="19">
        <v>0.88454031944274902</v>
      </c>
      <c r="I167" s="14">
        <f t="shared" si="2"/>
        <v>3.8922155688622757</v>
      </c>
      <c r="J167" s="31"/>
      <c r="K167" s="25">
        <v>1376.907113888657</v>
      </c>
      <c r="L167" s="19">
        <v>0.66422343254089355</v>
      </c>
      <c r="M167" s="23">
        <v>1375.9809550799389</v>
      </c>
      <c r="N167" s="19">
        <v>0.59740209579467773</v>
      </c>
      <c r="O167" s="23">
        <v>1414.7366103603381</v>
      </c>
      <c r="P167" s="26">
        <v>0.59797191619873047</v>
      </c>
    </row>
    <row r="168" spans="1:16" x14ac:dyDescent="0.3">
      <c r="A168" s="30" t="s">
        <v>169</v>
      </c>
      <c r="B168" s="3">
        <v>1670</v>
      </c>
      <c r="C168" s="2">
        <v>1620</v>
      </c>
      <c r="D168" s="19">
        <v>0.92789864540100098</v>
      </c>
      <c r="E168" s="2">
        <v>1620</v>
      </c>
      <c r="F168" s="19">
        <v>0.85800290107727051</v>
      </c>
      <c r="G168" s="2">
        <v>1605</v>
      </c>
      <c r="H168" s="19">
        <v>1.1285054683685301</v>
      </c>
      <c r="I168" s="14">
        <f t="shared" si="2"/>
        <v>2.9940119760479043</v>
      </c>
      <c r="J168" s="31"/>
      <c r="K168" s="25">
        <v>1430.801207201378</v>
      </c>
      <c r="L168" s="19">
        <v>0.68268871307373047</v>
      </c>
      <c r="M168" s="23">
        <v>1387.459789693899</v>
      </c>
      <c r="N168" s="19">
        <v>0.62750053405761719</v>
      </c>
      <c r="O168" s="23">
        <v>1426.5046421470961</v>
      </c>
      <c r="P168" s="26">
        <v>0.61458492279052734</v>
      </c>
    </row>
    <row r="169" spans="1:16" x14ac:dyDescent="0.3">
      <c r="A169" s="30" t="s">
        <v>170</v>
      </c>
      <c r="B169" s="3">
        <v>1670</v>
      </c>
      <c r="C169" s="2">
        <v>1615</v>
      </c>
      <c r="D169" s="19">
        <v>0.95771169662475586</v>
      </c>
      <c r="E169" s="2">
        <v>1620</v>
      </c>
      <c r="F169" s="19">
        <v>0.9044036865234375</v>
      </c>
      <c r="G169" s="2">
        <v>1605</v>
      </c>
      <c r="H169" s="19">
        <v>0.86129999160766602</v>
      </c>
      <c r="I169" s="14">
        <f t="shared" si="2"/>
        <v>2.9940119760479043</v>
      </c>
      <c r="J169" s="31"/>
      <c r="K169" s="25">
        <v>1429.3519585356951</v>
      </c>
      <c r="L169" s="19">
        <v>0.68305039405822754</v>
      </c>
      <c r="M169" s="23">
        <v>1395.107999884033</v>
      </c>
      <c r="N169" s="19">
        <v>0.61194515228271484</v>
      </c>
      <c r="O169" s="23">
        <v>1410.2891481239701</v>
      </c>
      <c r="P169" s="26">
        <v>0.63131093978881836</v>
      </c>
    </row>
    <row r="170" spans="1:16" x14ac:dyDescent="0.3">
      <c r="A170" s="30" t="s">
        <v>171</v>
      </c>
      <c r="B170" s="3">
        <v>1670</v>
      </c>
      <c r="C170" s="2">
        <v>1600</v>
      </c>
      <c r="D170" s="19">
        <v>0.95943021774291992</v>
      </c>
      <c r="E170" s="2">
        <v>1620</v>
      </c>
      <c r="F170" s="19">
        <v>0.79599404335021973</v>
      </c>
      <c r="G170" s="2">
        <v>1600</v>
      </c>
      <c r="H170" s="19">
        <v>0.71064305305480957</v>
      </c>
      <c r="I170" s="14">
        <f t="shared" si="2"/>
        <v>2.9940119760479043</v>
      </c>
      <c r="J170" s="31"/>
      <c r="K170" s="25">
        <v>1427.1343503238761</v>
      </c>
      <c r="L170" s="19">
        <v>0.6931455135345459</v>
      </c>
      <c r="M170" s="23">
        <v>1417.9650094369979</v>
      </c>
      <c r="N170" s="19">
        <v>0.66234636306762695</v>
      </c>
      <c r="O170" s="23">
        <v>1412.8786581353691</v>
      </c>
      <c r="P170" s="26">
        <v>0.62308835983276367</v>
      </c>
    </row>
    <row r="171" spans="1:16" x14ac:dyDescent="0.3">
      <c r="A171" s="30" t="s">
        <v>172</v>
      </c>
      <c r="B171" s="3">
        <v>1680</v>
      </c>
      <c r="C171" s="2">
        <v>1585</v>
      </c>
      <c r="D171" s="19">
        <v>0.88077020645141602</v>
      </c>
      <c r="E171" s="2">
        <v>1600</v>
      </c>
      <c r="F171" s="19">
        <v>0.81162905693054199</v>
      </c>
      <c r="G171" s="2">
        <v>1585</v>
      </c>
      <c r="H171" s="19">
        <v>0.65527582168579102</v>
      </c>
      <c r="I171" s="14">
        <f t="shared" si="2"/>
        <v>4.7619047619047619</v>
      </c>
      <c r="J171" s="31"/>
      <c r="K171" s="25">
        <v>1402.8829448213171</v>
      </c>
      <c r="L171" s="19">
        <v>0.64756369590759277</v>
      </c>
      <c r="M171" s="23">
        <v>1383.213240746162</v>
      </c>
      <c r="N171" s="19">
        <v>0.62299942970275879</v>
      </c>
      <c r="O171" s="23">
        <v>1393.1399908482399</v>
      </c>
      <c r="P171" s="26">
        <v>0.5849606990814209</v>
      </c>
    </row>
    <row r="172" spans="1:16" x14ac:dyDescent="0.3">
      <c r="A172" s="30" t="s">
        <v>173</v>
      </c>
      <c r="B172" s="3">
        <v>1680</v>
      </c>
      <c r="C172" s="2">
        <v>1615</v>
      </c>
      <c r="D172" s="19">
        <v>0.67312812805175781</v>
      </c>
      <c r="E172" s="2">
        <v>1635</v>
      </c>
      <c r="F172" s="19">
        <v>0.55971360206604004</v>
      </c>
      <c r="G172" s="2">
        <v>1645</v>
      </c>
      <c r="H172" s="19">
        <v>0.7128903865814209</v>
      </c>
      <c r="I172" s="14">
        <f t="shared" si="2"/>
        <v>2.083333333333333</v>
      </c>
      <c r="J172" s="31"/>
      <c r="K172" s="25">
        <v>1414.729439592661</v>
      </c>
      <c r="L172" s="19">
        <v>0.51566076278686523</v>
      </c>
      <c r="M172" s="23">
        <v>1385.2312961401731</v>
      </c>
      <c r="N172" s="19">
        <v>0.45179176330566412</v>
      </c>
      <c r="O172" s="23">
        <v>1433.693525154813</v>
      </c>
      <c r="P172" s="26">
        <v>0.46180129051208502</v>
      </c>
    </row>
    <row r="173" spans="1:16" x14ac:dyDescent="0.3">
      <c r="A173" s="30" t="s">
        <v>174</v>
      </c>
      <c r="B173" s="3">
        <v>1680</v>
      </c>
      <c r="C173" s="2">
        <v>1635</v>
      </c>
      <c r="D173" s="19">
        <v>0.73906803131103516</v>
      </c>
      <c r="E173" s="2">
        <v>1640</v>
      </c>
      <c r="F173" s="19">
        <v>0.60024046897888184</v>
      </c>
      <c r="G173" s="2">
        <v>1615</v>
      </c>
      <c r="H173" s="19">
        <v>0.63128829002380371</v>
      </c>
      <c r="I173" s="14">
        <f t="shared" si="2"/>
        <v>2.3809523809523809</v>
      </c>
      <c r="J173" s="31"/>
      <c r="K173" s="25">
        <v>1437.275346157759</v>
      </c>
      <c r="L173" s="19">
        <v>0.47975754737853998</v>
      </c>
      <c r="M173" s="23">
        <v>1392.9014778019171</v>
      </c>
      <c r="N173" s="19">
        <v>0.46916007995605469</v>
      </c>
      <c r="O173" s="23">
        <v>1441.7543771218909</v>
      </c>
      <c r="P173" s="26">
        <v>0.47826600074768072</v>
      </c>
    </row>
    <row r="174" spans="1:16" x14ac:dyDescent="0.3">
      <c r="A174" s="30" t="s">
        <v>175</v>
      </c>
      <c r="B174" s="3">
        <v>1680</v>
      </c>
      <c r="C174" s="2">
        <v>1595</v>
      </c>
      <c r="D174" s="19">
        <v>0.74951815605163574</v>
      </c>
      <c r="E174" s="2">
        <v>1605</v>
      </c>
      <c r="F174" s="19">
        <v>0.63905477523803711</v>
      </c>
      <c r="G174" s="2">
        <v>1635</v>
      </c>
      <c r="H174" s="19">
        <v>0.62505531311035156</v>
      </c>
      <c r="I174" s="14">
        <f t="shared" si="2"/>
        <v>2.6785714285714284</v>
      </c>
      <c r="J174" s="31"/>
      <c r="K174" s="25">
        <v>1413.217846316239</v>
      </c>
      <c r="L174" s="19">
        <v>0.51118683815002441</v>
      </c>
      <c r="M174" s="23">
        <v>1379.28620053242</v>
      </c>
      <c r="N174" s="19">
        <v>0.47173833847045898</v>
      </c>
      <c r="O174" s="23">
        <v>1432.4978965742789</v>
      </c>
      <c r="P174" s="26">
        <v>0.49970364570617681</v>
      </c>
    </row>
    <row r="175" spans="1:16" x14ac:dyDescent="0.3">
      <c r="A175" s="30" t="s">
        <v>176</v>
      </c>
      <c r="B175" s="3">
        <v>1680</v>
      </c>
      <c r="C175" s="2">
        <v>1670</v>
      </c>
      <c r="D175" s="19">
        <v>0.93812322616577148</v>
      </c>
      <c r="E175" s="2">
        <v>1635</v>
      </c>
      <c r="F175" s="19">
        <v>0.75386142730712891</v>
      </c>
      <c r="G175" s="2">
        <v>1640</v>
      </c>
      <c r="H175" s="19">
        <v>0.69484949111938477</v>
      </c>
      <c r="I175" s="14">
        <f t="shared" si="2"/>
        <v>0.59523809523809523</v>
      </c>
      <c r="J175" s="31"/>
      <c r="K175" s="25">
        <v>1434.3019874729009</v>
      </c>
      <c r="L175" s="19">
        <v>0.51987266540527344</v>
      </c>
      <c r="M175" s="23">
        <v>1414.2966916947751</v>
      </c>
      <c r="N175" s="19">
        <v>0.50236010551452637</v>
      </c>
      <c r="O175" s="23">
        <v>1414.707930199987</v>
      </c>
      <c r="P175" s="26">
        <v>0.52312707901000977</v>
      </c>
    </row>
    <row r="176" spans="1:16" x14ac:dyDescent="0.3">
      <c r="A176" s="30" t="s">
        <v>177</v>
      </c>
      <c r="B176" s="3">
        <v>1680</v>
      </c>
      <c r="C176" s="2">
        <v>1620</v>
      </c>
      <c r="D176" s="19">
        <v>0.7856442928314209</v>
      </c>
      <c r="E176" s="2">
        <v>1620</v>
      </c>
      <c r="F176" s="19">
        <v>1.0119085311889651</v>
      </c>
      <c r="G176" s="2">
        <v>1605</v>
      </c>
      <c r="H176" s="19">
        <v>0.65874338150024414</v>
      </c>
      <c r="I176" s="14">
        <f t="shared" si="2"/>
        <v>3.5714285714285712</v>
      </c>
      <c r="J176" s="31"/>
      <c r="K176" s="25">
        <v>1432.97376880461</v>
      </c>
      <c r="L176" s="19">
        <v>0.52911686897277832</v>
      </c>
      <c r="M176" s="23">
        <v>1457.3234798787139</v>
      </c>
      <c r="N176" s="19">
        <v>0.51761531829833984</v>
      </c>
      <c r="O176" s="23">
        <v>1428.516096642305</v>
      </c>
      <c r="P176" s="26">
        <v>0.53170323371887207</v>
      </c>
    </row>
    <row r="177" spans="1:16" x14ac:dyDescent="0.3">
      <c r="A177" s="30" t="s">
        <v>178</v>
      </c>
      <c r="B177" s="3">
        <v>1680</v>
      </c>
      <c r="C177" s="2">
        <v>1620</v>
      </c>
      <c r="D177" s="19">
        <v>0.87870073318481445</v>
      </c>
      <c r="E177" s="2">
        <v>1635</v>
      </c>
      <c r="F177" s="19">
        <v>1.13752293586731</v>
      </c>
      <c r="G177" s="2">
        <v>1630</v>
      </c>
      <c r="H177" s="19">
        <v>0.70740675926208496</v>
      </c>
      <c r="I177" s="14">
        <f t="shared" si="2"/>
        <v>2.6785714285714284</v>
      </c>
      <c r="J177" s="31"/>
      <c r="K177" s="25">
        <v>1449.695436312868</v>
      </c>
      <c r="L177" s="19">
        <v>0.57906150817871094</v>
      </c>
      <c r="M177" s="23">
        <v>1401.51641848485</v>
      </c>
      <c r="N177" s="19">
        <v>0.57253146171569824</v>
      </c>
      <c r="O177" s="23">
        <v>1415.8874883607809</v>
      </c>
      <c r="P177" s="26">
        <v>0.57734394073486328</v>
      </c>
    </row>
    <row r="178" spans="1:16" x14ac:dyDescent="0.3">
      <c r="A178" s="30" t="s">
        <v>179</v>
      </c>
      <c r="B178" s="3">
        <v>1680</v>
      </c>
      <c r="C178" s="2">
        <v>1620</v>
      </c>
      <c r="D178" s="19">
        <v>0.86908507347106934</v>
      </c>
      <c r="E178" s="2">
        <v>1620</v>
      </c>
      <c r="F178" s="19">
        <v>1.212461471557617</v>
      </c>
      <c r="G178" s="2">
        <v>1635</v>
      </c>
      <c r="H178" s="19">
        <v>0.64684748649597168</v>
      </c>
      <c r="I178" s="14">
        <f t="shared" si="2"/>
        <v>2.6785714285714284</v>
      </c>
      <c r="J178" s="31"/>
      <c r="K178" s="25">
        <v>1431.5328277339961</v>
      </c>
      <c r="L178" s="19">
        <v>0.59151148796081543</v>
      </c>
      <c r="M178" s="23">
        <v>1387.8174555052219</v>
      </c>
      <c r="N178" s="19">
        <v>0.61307573318481445</v>
      </c>
      <c r="O178" s="23">
        <v>1416.821748823575</v>
      </c>
      <c r="P178" s="26">
        <v>0.57845211029052734</v>
      </c>
    </row>
    <row r="179" spans="1:16" x14ac:dyDescent="0.3">
      <c r="A179" s="30" t="s">
        <v>180</v>
      </c>
      <c r="B179" s="3">
        <v>1680</v>
      </c>
      <c r="C179" s="2">
        <v>1635</v>
      </c>
      <c r="D179" s="19">
        <v>0.90339469909667969</v>
      </c>
      <c r="E179" s="2">
        <v>1650</v>
      </c>
      <c r="F179" s="19">
        <v>1.1678071022033689</v>
      </c>
      <c r="G179" s="2">
        <v>1635</v>
      </c>
      <c r="H179" s="19">
        <v>0.75350499153137207</v>
      </c>
      <c r="I179" s="14">
        <f t="shared" si="2"/>
        <v>1.7857142857142856</v>
      </c>
      <c r="J179" s="31"/>
      <c r="K179" s="25">
        <v>1449.003320779163</v>
      </c>
      <c r="L179" s="19">
        <v>0.77346324920654297</v>
      </c>
      <c r="M179" s="23">
        <v>1405.207181659345</v>
      </c>
      <c r="N179" s="19">
        <v>0.60790133476257324</v>
      </c>
      <c r="O179" s="23">
        <v>1443.6653321718741</v>
      </c>
      <c r="P179" s="26">
        <v>0.61649823188781738</v>
      </c>
    </row>
    <row r="180" spans="1:16" x14ac:dyDescent="0.3">
      <c r="A180" s="30" t="s">
        <v>181</v>
      </c>
      <c r="B180" s="3">
        <v>1680</v>
      </c>
      <c r="C180" s="2">
        <v>1630</v>
      </c>
      <c r="D180" s="19">
        <v>0.99670767784118652</v>
      </c>
      <c r="E180" s="2">
        <v>1635</v>
      </c>
      <c r="F180" s="19">
        <v>1.1258144378662109</v>
      </c>
      <c r="G180" s="2">
        <v>1635</v>
      </c>
      <c r="H180" s="19">
        <v>0.85381650924682617</v>
      </c>
      <c r="I180" s="14">
        <f t="shared" si="2"/>
        <v>2.6785714285714284</v>
      </c>
      <c r="J180" s="31"/>
      <c r="K180" s="25">
        <v>1449.8083794482629</v>
      </c>
      <c r="L180" s="19">
        <v>0.70242834091186523</v>
      </c>
      <c r="M180" s="23">
        <v>1430.510597117966</v>
      </c>
      <c r="N180" s="19">
        <v>0.60253334045410156</v>
      </c>
      <c r="O180" s="23">
        <v>1445.1795105911731</v>
      </c>
      <c r="P180" s="26">
        <v>0.6073756217956543</v>
      </c>
    </row>
    <row r="181" spans="1:16" x14ac:dyDescent="0.3">
      <c r="A181" s="30" t="s">
        <v>182</v>
      </c>
      <c r="B181" s="3">
        <v>1680</v>
      </c>
      <c r="C181" s="2">
        <v>1630</v>
      </c>
      <c r="D181" s="19">
        <v>0.95569610595703125</v>
      </c>
      <c r="E181" s="2">
        <v>1620</v>
      </c>
      <c r="F181" s="19">
        <v>0.73801779747009277</v>
      </c>
      <c r="G181" s="2">
        <v>1630</v>
      </c>
      <c r="H181" s="19">
        <v>0.85666346549987793</v>
      </c>
      <c r="I181" s="14">
        <f t="shared" si="2"/>
        <v>2.9761904761904758</v>
      </c>
      <c r="J181" s="31"/>
      <c r="K181" s="25">
        <v>1436.9450074320041</v>
      </c>
      <c r="L181" s="19">
        <v>0.72077226638793945</v>
      </c>
      <c r="M181" s="23">
        <v>1394.305870340414</v>
      </c>
      <c r="N181" s="19">
        <v>0.64028716087341309</v>
      </c>
      <c r="O181" s="23">
        <v>1427.0131999873081</v>
      </c>
      <c r="P181" s="26">
        <v>0.60745859146118164</v>
      </c>
    </row>
    <row r="182" spans="1:16" x14ac:dyDescent="0.3">
      <c r="A182" s="30" t="s">
        <v>183</v>
      </c>
      <c r="B182" s="3">
        <v>1680</v>
      </c>
      <c r="C182" s="2">
        <v>1650</v>
      </c>
      <c r="D182" s="19">
        <v>0.94845032691955566</v>
      </c>
      <c r="E182" s="2">
        <v>1640</v>
      </c>
      <c r="F182" s="19">
        <v>0.71573972702026367</v>
      </c>
      <c r="G182" s="2">
        <v>1645</v>
      </c>
      <c r="H182" s="19">
        <v>0.66883063316345215</v>
      </c>
      <c r="I182" s="14">
        <f t="shared" si="2"/>
        <v>1.7857142857142856</v>
      </c>
      <c r="J182" s="31"/>
      <c r="K182" s="25">
        <v>1461.130604734338</v>
      </c>
      <c r="L182" s="19">
        <v>0.7351076602935791</v>
      </c>
      <c r="M182" s="23">
        <v>1437.305614918045</v>
      </c>
      <c r="N182" s="19">
        <v>0.64126992225646973</v>
      </c>
      <c r="O182" s="23">
        <v>1417.8058902616599</v>
      </c>
      <c r="P182" s="26">
        <v>0.61817646026611328</v>
      </c>
    </row>
    <row r="183" spans="1:16" x14ac:dyDescent="0.3">
      <c r="A183" s="30" t="s">
        <v>184</v>
      </c>
      <c r="B183" s="3">
        <v>1680</v>
      </c>
      <c r="C183" s="2">
        <v>1650</v>
      </c>
      <c r="D183" s="19">
        <v>0.94422698020935059</v>
      </c>
      <c r="E183" s="2">
        <v>1640</v>
      </c>
      <c r="F183" s="19">
        <v>0.91286563873291016</v>
      </c>
      <c r="G183" s="2">
        <v>1635</v>
      </c>
      <c r="H183" s="19">
        <v>0.69669985771179199</v>
      </c>
      <c r="I183" s="14">
        <f t="shared" si="2"/>
        <v>1.7857142857142856</v>
      </c>
      <c r="J183" s="31"/>
      <c r="K183" s="25">
        <v>1447.7260594102131</v>
      </c>
      <c r="L183" s="19">
        <v>0.71408963203430176</v>
      </c>
      <c r="M183" s="23">
        <v>1432.9625246880189</v>
      </c>
      <c r="N183" s="19">
        <v>0.64336776733398438</v>
      </c>
      <c r="O183" s="23">
        <v>1413.8039133990039</v>
      </c>
      <c r="P183" s="26">
        <v>0.64826583862304688</v>
      </c>
    </row>
    <row r="184" spans="1:16" x14ac:dyDescent="0.3">
      <c r="A184" s="30" t="s">
        <v>185</v>
      </c>
      <c r="B184" s="3">
        <v>1680</v>
      </c>
      <c r="C184" s="2">
        <v>1640</v>
      </c>
      <c r="D184" s="19">
        <v>0.96313643455505371</v>
      </c>
      <c r="E184" s="2">
        <v>1650</v>
      </c>
      <c r="F184" s="19">
        <v>0.77838873863220215</v>
      </c>
      <c r="G184" s="2">
        <v>1640</v>
      </c>
      <c r="H184" s="19">
        <v>0.75718474388122559</v>
      </c>
      <c r="I184" s="14">
        <f t="shared" si="2"/>
        <v>1.7857142857142856</v>
      </c>
      <c r="J184" s="31"/>
      <c r="K184" s="25">
        <v>1454.5826865692279</v>
      </c>
      <c r="L184" s="19">
        <v>0.79997158050537109</v>
      </c>
      <c r="M184" s="23">
        <v>1406.367715176443</v>
      </c>
      <c r="N184" s="19">
        <v>0.62732124328613281</v>
      </c>
      <c r="O184" s="23">
        <v>1450.6788875429031</v>
      </c>
      <c r="P184" s="26">
        <v>0.65595626831054688</v>
      </c>
    </row>
    <row r="185" spans="1:16" x14ac:dyDescent="0.3">
      <c r="A185" s="30" t="s">
        <v>186</v>
      </c>
      <c r="B185" s="3">
        <v>173</v>
      </c>
      <c r="C185" s="2">
        <v>122</v>
      </c>
      <c r="D185" s="19">
        <v>0.47021007537841802</v>
      </c>
      <c r="E185" s="2">
        <v>129</v>
      </c>
      <c r="F185" s="19">
        <v>0.28628134727478027</v>
      </c>
      <c r="G185" s="2">
        <v>129</v>
      </c>
      <c r="H185" s="19">
        <v>0.31116747856140142</v>
      </c>
      <c r="I185" s="14">
        <f t="shared" si="2"/>
        <v>25.433526011560691</v>
      </c>
      <c r="J185" s="31"/>
      <c r="K185" s="25">
        <v>103.71522262851521</v>
      </c>
      <c r="L185" s="19">
        <v>0.29321575164794922</v>
      </c>
      <c r="M185" s="23">
        <v>103.71522262851521</v>
      </c>
      <c r="N185" s="19">
        <v>0.21642184257507319</v>
      </c>
      <c r="O185" s="23">
        <v>103.71522262851521</v>
      </c>
      <c r="P185" s="26">
        <v>0.21502900123596189</v>
      </c>
    </row>
    <row r="186" spans="1:16" x14ac:dyDescent="0.3">
      <c r="A186" s="30" t="s">
        <v>187</v>
      </c>
      <c r="B186" s="3">
        <v>173</v>
      </c>
      <c r="C186" s="2">
        <v>82</v>
      </c>
      <c r="D186" s="19">
        <v>0.47786641120910639</v>
      </c>
      <c r="E186" s="2">
        <v>122</v>
      </c>
      <c r="F186" s="19">
        <v>0.22498536109924319</v>
      </c>
      <c r="G186" s="2">
        <v>129</v>
      </c>
      <c r="H186" s="19">
        <v>0.22163891792297361</v>
      </c>
      <c r="I186" s="14">
        <f t="shared" si="2"/>
        <v>25.433526011560691</v>
      </c>
      <c r="J186" s="31"/>
      <c r="K186" s="25">
        <v>80.2</v>
      </c>
      <c r="L186" s="19">
        <v>0.29839324951171881</v>
      </c>
      <c r="M186" s="23">
        <v>111.5</v>
      </c>
      <c r="N186" s="19">
        <v>0.2154228687286377</v>
      </c>
      <c r="O186" s="23">
        <v>80.400000000000006</v>
      </c>
      <c r="P186" s="26">
        <v>0.2184150218963623</v>
      </c>
    </row>
    <row r="187" spans="1:16" x14ac:dyDescent="0.3">
      <c r="A187" s="30" t="s">
        <v>188</v>
      </c>
      <c r="B187" s="3">
        <v>173</v>
      </c>
      <c r="C187" s="2">
        <v>102</v>
      </c>
      <c r="D187" s="19">
        <v>0.71990966796875</v>
      </c>
      <c r="E187" s="2">
        <v>102</v>
      </c>
      <c r="F187" s="19">
        <v>0.28666782379150391</v>
      </c>
      <c r="G187" s="2">
        <v>129</v>
      </c>
      <c r="H187" s="19">
        <v>0.31220889091491699</v>
      </c>
      <c r="I187" s="14">
        <f t="shared" si="2"/>
        <v>25.433526011560691</v>
      </c>
      <c r="J187" s="31"/>
      <c r="K187" s="25">
        <v>69</v>
      </c>
      <c r="L187" s="19">
        <v>0.26429390907287598</v>
      </c>
      <c r="M187" s="23">
        <v>104.2</v>
      </c>
      <c r="N187" s="19">
        <v>0.24434566497802729</v>
      </c>
      <c r="O187" s="23">
        <v>78.5</v>
      </c>
      <c r="P187" s="26">
        <v>0.24733805656433111</v>
      </c>
    </row>
    <row r="188" spans="1:16" x14ac:dyDescent="0.3">
      <c r="A188" s="30" t="s">
        <v>189</v>
      </c>
      <c r="B188" s="3">
        <v>173</v>
      </c>
      <c r="C188" s="2">
        <v>82</v>
      </c>
      <c r="D188" s="19">
        <v>0.54410386085510254</v>
      </c>
      <c r="E188" s="2">
        <v>102</v>
      </c>
      <c r="F188" s="19">
        <v>0.26541733741760248</v>
      </c>
      <c r="G188" s="2">
        <v>129</v>
      </c>
      <c r="H188" s="19">
        <v>0.25033020973205572</v>
      </c>
      <c r="I188" s="14">
        <f t="shared" si="2"/>
        <v>25.433526011560691</v>
      </c>
      <c r="J188" s="31"/>
      <c r="K188" s="25">
        <v>101.5</v>
      </c>
      <c r="L188" s="19">
        <v>0.30917143821716309</v>
      </c>
      <c r="M188" s="23">
        <v>94.2</v>
      </c>
      <c r="N188" s="19">
        <v>0.2448530197143555</v>
      </c>
      <c r="O188" s="23">
        <v>66.5</v>
      </c>
      <c r="P188" s="26">
        <v>0.245342493057251</v>
      </c>
    </row>
    <row r="189" spans="1:16" x14ac:dyDescent="0.3">
      <c r="A189" s="30" t="s">
        <v>190</v>
      </c>
      <c r="B189" s="3">
        <v>173</v>
      </c>
      <c r="C189" s="2">
        <v>122</v>
      </c>
      <c r="D189" s="19">
        <v>0.39331221580505371</v>
      </c>
      <c r="E189" s="2">
        <v>102</v>
      </c>
      <c r="F189" s="19">
        <v>0.3092656135559082</v>
      </c>
      <c r="G189" s="2">
        <v>129</v>
      </c>
      <c r="H189" s="19">
        <v>0.2982025146484375</v>
      </c>
      <c r="I189" s="14">
        <f t="shared" si="2"/>
        <v>25.433526011560691</v>
      </c>
      <c r="J189" s="31"/>
      <c r="K189" s="25">
        <v>89.4</v>
      </c>
      <c r="L189" s="19">
        <v>0.33999490737915039</v>
      </c>
      <c r="M189" s="23">
        <v>122.2</v>
      </c>
      <c r="N189" s="19">
        <v>0.29321622848510742</v>
      </c>
      <c r="O189" s="23">
        <v>94.5</v>
      </c>
      <c r="P189" s="26">
        <v>0.26212430000305181</v>
      </c>
    </row>
    <row r="190" spans="1:16" x14ac:dyDescent="0.3">
      <c r="A190" s="30" t="s">
        <v>191</v>
      </c>
      <c r="B190" s="3">
        <v>241</v>
      </c>
      <c r="C190" s="2">
        <v>184</v>
      </c>
      <c r="D190" s="19">
        <v>0.36279916763305659</v>
      </c>
      <c r="E190" s="2">
        <v>184</v>
      </c>
      <c r="F190" s="19">
        <v>0.28189444541931152</v>
      </c>
      <c r="G190" s="2">
        <v>185</v>
      </c>
      <c r="H190" s="19">
        <v>0.26349854469299322</v>
      </c>
      <c r="I190" s="14">
        <f t="shared" si="2"/>
        <v>23.236514522821576</v>
      </c>
      <c r="J190" s="31"/>
      <c r="K190" s="25">
        <v>134.4872641649205</v>
      </c>
      <c r="L190" s="19">
        <v>0.2817692756652832</v>
      </c>
      <c r="M190" s="23">
        <v>140.0641145071011</v>
      </c>
      <c r="N190" s="19">
        <v>0.23237824440002439</v>
      </c>
      <c r="O190" s="23">
        <v>143.99833637965591</v>
      </c>
      <c r="P190" s="26">
        <v>0.23536968231201169</v>
      </c>
    </row>
    <row r="191" spans="1:16" x14ac:dyDescent="0.3">
      <c r="A191" s="30" t="s">
        <v>192</v>
      </c>
      <c r="B191" s="3">
        <v>241</v>
      </c>
      <c r="C191" s="2">
        <v>187</v>
      </c>
      <c r="D191" s="19">
        <v>0.4071197509765625</v>
      </c>
      <c r="E191" s="2">
        <v>184</v>
      </c>
      <c r="F191" s="19">
        <v>0.27142643928527832</v>
      </c>
      <c r="G191" s="2">
        <v>180</v>
      </c>
      <c r="H191" s="19">
        <v>0.27725768089294428</v>
      </c>
      <c r="I191" s="14">
        <f t="shared" si="2"/>
        <v>22.40663900414938</v>
      </c>
      <c r="J191" s="31"/>
      <c r="K191" s="25">
        <v>150.9988115925706</v>
      </c>
      <c r="L191" s="19">
        <v>0.34009003639221191</v>
      </c>
      <c r="M191" s="23">
        <v>124.8840960563047</v>
      </c>
      <c r="N191" s="19">
        <v>0.25033044815063482</v>
      </c>
      <c r="O191" s="23">
        <v>100.5085196144335</v>
      </c>
      <c r="P191" s="26">
        <v>0.2403566837310791</v>
      </c>
    </row>
    <row r="192" spans="1:16" x14ac:dyDescent="0.3">
      <c r="A192" s="30" t="s">
        <v>193</v>
      </c>
      <c r="B192" s="3">
        <v>241</v>
      </c>
      <c r="C192" s="2">
        <v>122</v>
      </c>
      <c r="D192" s="19">
        <v>0.38990497589111328</v>
      </c>
      <c r="E192" s="2">
        <v>122</v>
      </c>
      <c r="F192" s="19">
        <v>0.27333521842956537</v>
      </c>
      <c r="G192" s="2">
        <v>192</v>
      </c>
      <c r="H192" s="19">
        <v>0.29022383689880371</v>
      </c>
      <c r="I192" s="14">
        <f t="shared" si="2"/>
        <v>20.331950207468878</v>
      </c>
      <c r="J192" s="31"/>
      <c r="K192" s="25">
        <v>141.80000000000001</v>
      </c>
      <c r="L192" s="19">
        <v>0.49913501739501948</v>
      </c>
      <c r="M192" s="23">
        <v>150.80000000000001</v>
      </c>
      <c r="N192" s="19">
        <v>0.27172446250915527</v>
      </c>
      <c r="O192" s="23">
        <v>112.7</v>
      </c>
      <c r="P192" s="26">
        <v>0.28224444389343262</v>
      </c>
    </row>
    <row r="193" spans="1:16" x14ac:dyDescent="0.3">
      <c r="A193" s="30" t="s">
        <v>194</v>
      </c>
      <c r="B193" s="3">
        <v>241</v>
      </c>
      <c r="C193" s="2">
        <v>187</v>
      </c>
      <c r="D193" s="19">
        <v>0.50168466567993164</v>
      </c>
      <c r="E193" s="2">
        <v>184</v>
      </c>
      <c r="F193" s="19">
        <v>0.37368273735046392</v>
      </c>
      <c r="G193" s="2">
        <v>187</v>
      </c>
      <c r="H193" s="19">
        <v>0.29279923439025879</v>
      </c>
      <c r="I193" s="14">
        <f t="shared" si="2"/>
        <v>22.40663900414938</v>
      </c>
      <c r="J193" s="31"/>
      <c r="K193" s="25">
        <v>148.14605954724121</v>
      </c>
      <c r="L193" s="19">
        <v>0.32812166213989258</v>
      </c>
      <c r="M193" s="23">
        <v>105.3226063383247</v>
      </c>
      <c r="N193" s="19">
        <v>0.31116747856140142</v>
      </c>
      <c r="O193" s="23">
        <v>90.131932422282219</v>
      </c>
      <c r="P193" s="26">
        <v>0.28037500381469732</v>
      </c>
    </row>
    <row r="194" spans="1:16" x14ac:dyDescent="0.3">
      <c r="A194" s="30" t="s">
        <v>195</v>
      </c>
      <c r="B194" s="3">
        <v>241</v>
      </c>
      <c r="C194" s="2">
        <v>187</v>
      </c>
      <c r="D194" s="19">
        <v>0.42004108428955078</v>
      </c>
      <c r="E194" s="2">
        <v>122</v>
      </c>
      <c r="F194" s="19">
        <v>0.3527824878692627</v>
      </c>
      <c r="G194" s="2">
        <v>192</v>
      </c>
      <c r="H194" s="19">
        <v>0.30722570419311518</v>
      </c>
      <c r="I194" s="14">
        <f t="shared" si="2"/>
        <v>20.331950207468878</v>
      </c>
      <c r="J194" s="31"/>
      <c r="K194" s="25">
        <v>152.69999999999999</v>
      </c>
      <c r="L194" s="19">
        <v>0.32812118530273438</v>
      </c>
      <c r="M194" s="23">
        <v>170.6</v>
      </c>
      <c r="N194" s="19">
        <v>0.28224515914916992</v>
      </c>
      <c r="O194" s="23">
        <v>101.4</v>
      </c>
      <c r="P194" s="26">
        <v>0.37100672721862787</v>
      </c>
    </row>
    <row r="195" spans="1:16" x14ac:dyDescent="0.3">
      <c r="A195" s="30" t="s">
        <v>196</v>
      </c>
      <c r="B195" s="3">
        <v>299</v>
      </c>
      <c r="C195" s="2">
        <v>202</v>
      </c>
      <c r="D195" s="19">
        <v>0.39639067649841309</v>
      </c>
      <c r="E195" s="2">
        <v>229</v>
      </c>
      <c r="F195" s="19">
        <v>0.30543041229248052</v>
      </c>
      <c r="G195" s="2">
        <v>242</v>
      </c>
      <c r="H195" s="19">
        <v>0.27526402473449713</v>
      </c>
      <c r="I195" s="14">
        <f t="shared" si="2"/>
        <v>19.063545150501675</v>
      </c>
      <c r="J195" s="31"/>
      <c r="K195" s="25">
        <v>194.61955670358651</v>
      </c>
      <c r="L195" s="19">
        <v>0.34178709983825678</v>
      </c>
      <c r="M195" s="23">
        <v>161.4205807448441</v>
      </c>
      <c r="N195" s="19">
        <v>0.2554786205291748</v>
      </c>
      <c r="O195" s="23">
        <v>159.16165851750321</v>
      </c>
      <c r="P195" s="26">
        <v>0.32812190055847168</v>
      </c>
    </row>
    <row r="196" spans="1:16" x14ac:dyDescent="0.3">
      <c r="A196" s="30" t="s">
        <v>197</v>
      </c>
      <c r="B196" s="3">
        <v>299</v>
      </c>
      <c r="C196" s="2">
        <v>158</v>
      </c>
      <c r="D196" s="19">
        <v>0.37380099296569819</v>
      </c>
      <c r="E196" s="2">
        <v>202</v>
      </c>
      <c r="F196" s="19">
        <v>0.28554296493530268</v>
      </c>
      <c r="G196" s="2">
        <v>226</v>
      </c>
      <c r="H196" s="19">
        <v>0.2622983455657959</v>
      </c>
      <c r="I196" s="14">
        <f t="shared" ref="I196:I259" si="3">((B196-MAX(C196,E196,G196))/B196)*100</f>
        <v>24.414715719063544</v>
      </c>
      <c r="J196" s="31"/>
      <c r="K196" s="25">
        <v>224.54512475562521</v>
      </c>
      <c r="L196" s="19">
        <v>0.31316232681274409</v>
      </c>
      <c r="M196" s="23">
        <v>150.5</v>
      </c>
      <c r="N196" s="19">
        <v>0.2571415901184082</v>
      </c>
      <c r="O196" s="23">
        <v>122.66026768153181</v>
      </c>
      <c r="P196" s="26">
        <v>0.2848050594329834</v>
      </c>
    </row>
    <row r="197" spans="1:16" x14ac:dyDescent="0.3">
      <c r="A197" s="30" t="s">
        <v>198</v>
      </c>
      <c r="B197" s="3">
        <v>299</v>
      </c>
      <c r="C197" s="2">
        <v>158</v>
      </c>
      <c r="D197" s="19">
        <v>0.40000057220458979</v>
      </c>
      <c r="E197" s="2">
        <v>229</v>
      </c>
      <c r="F197" s="19">
        <v>0.3464043140411377</v>
      </c>
      <c r="G197" s="2">
        <v>242</v>
      </c>
      <c r="H197" s="19">
        <v>0.29475021362304688</v>
      </c>
      <c r="I197" s="14">
        <f t="shared" si="3"/>
        <v>19.063545150501675</v>
      </c>
      <c r="J197" s="31"/>
      <c r="K197" s="25">
        <v>201.4</v>
      </c>
      <c r="L197" s="19">
        <v>0.35405182838439941</v>
      </c>
      <c r="M197" s="23">
        <v>232.1</v>
      </c>
      <c r="N197" s="19">
        <v>0.30618095397949219</v>
      </c>
      <c r="O197" s="23">
        <v>160.6</v>
      </c>
      <c r="P197" s="26">
        <v>0.29421186447143549</v>
      </c>
    </row>
    <row r="198" spans="1:16" x14ac:dyDescent="0.3">
      <c r="A198" s="30" t="s">
        <v>199</v>
      </c>
      <c r="B198" s="3">
        <v>299</v>
      </c>
      <c r="C198" s="2">
        <v>158</v>
      </c>
      <c r="D198" s="19">
        <v>0.46778202056884771</v>
      </c>
      <c r="E198" s="2">
        <v>202</v>
      </c>
      <c r="F198" s="19">
        <v>0.30186796188354492</v>
      </c>
      <c r="G198" s="2">
        <v>226</v>
      </c>
      <c r="H198" s="19">
        <v>0.28423976898193359</v>
      </c>
      <c r="I198" s="14">
        <f t="shared" si="3"/>
        <v>24.414715719063544</v>
      </c>
      <c r="J198" s="31"/>
      <c r="K198" s="25">
        <v>160.6</v>
      </c>
      <c r="L198" s="19">
        <v>0.35844945907592768</v>
      </c>
      <c r="M198" s="23">
        <v>182.4</v>
      </c>
      <c r="N198" s="19">
        <v>0.29720354080200201</v>
      </c>
      <c r="O198" s="23">
        <v>137.05926754310039</v>
      </c>
      <c r="P198" s="26">
        <v>0.30318903923034668</v>
      </c>
    </row>
    <row r="199" spans="1:16" x14ac:dyDescent="0.3">
      <c r="A199" s="30" t="s">
        <v>200</v>
      </c>
      <c r="B199" s="3">
        <v>299</v>
      </c>
      <c r="C199" s="2">
        <v>202</v>
      </c>
      <c r="D199" s="19">
        <v>0.44911408424377441</v>
      </c>
      <c r="E199" s="2">
        <v>229</v>
      </c>
      <c r="F199" s="19">
        <v>0.36662149429321289</v>
      </c>
      <c r="G199" s="2">
        <v>226</v>
      </c>
      <c r="H199" s="19">
        <v>0.30518364906311041</v>
      </c>
      <c r="I199" s="14">
        <f t="shared" si="3"/>
        <v>23.411371237458194</v>
      </c>
      <c r="J199" s="31"/>
      <c r="K199" s="25">
        <v>172.4</v>
      </c>
      <c r="L199" s="19">
        <v>0.31814789772033691</v>
      </c>
      <c r="M199" s="23">
        <v>205.4</v>
      </c>
      <c r="N199" s="19">
        <v>0.31590819358825678</v>
      </c>
      <c r="O199" s="23">
        <v>146.19999999999999</v>
      </c>
      <c r="P199" s="26">
        <v>0.3152012825012207</v>
      </c>
    </row>
    <row r="200" spans="1:16" x14ac:dyDescent="0.3">
      <c r="A200" s="30" t="s">
        <v>201</v>
      </c>
      <c r="B200" s="3">
        <v>367</v>
      </c>
      <c r="C200" s="2">
        <v>278</v>
      </c>
      <c r="D200" s="19">
        <v>0.44859194755554199</v>
      </c>
      <c r="E200" s="2">
        <v>278</v>
      </c>
      <c r="F200" s="19">
        <v>0.37202286720275879</v>
      </c>
      <c r="G200" s="2">
        <v>291</v>
      </c>
      <c r="H200" s="19">
        <v>0.3047177791595459</v>
      </c>
      <c r="I200" s="14">
        <f t="shared" si="3"/>
        <v>20.708446866485016</v>
      </c>
      <c r="J200" s="31"/>
      <c r="K200" s="25">
        <v>227.84258524337699</v>
      </c>
      <c r="L200" s="19">
        <v>0.32313323020935059</v>
      </c>
      <c r="M200" s="23">
        <v>214.6353410434383</v>
      </c>
      <c r="N200" s="19">
        <v>0.29520964622497559</v>
      </c>
      <c r="O200" s="23">
        <v>216.38377240079521</v>
      </c>
      <c r="P200" s="26">
        <v>0.28028297424316412</v>
      </c>
    </row>
    <row r="201" spans="1:16" x14ac:dyDescent="0.3">
      <c r="A201" s="30" t="s">
        <v>202</v>
      </c>
      <c r="B201" s="3">
        <v>367</v>
      </c>
      <c r="C201" s="2">
        <v>176</v>
      </c>
      <c r="D201" s="19">
        <v>0.46409845352172852</v>
      </c>
      <c r="E201" s="2">
        <v>229</v>
      </c>
      <c r="F201" s="19">
        <v>0.39622139930725098</v>
      </c>
      <c r="G201" s="2">
        <v>280</v>
      </c>
      <c r="H201" s="19">
        <v>0.2989802360534668</v>
      </c>
      <c r="I201" s="14">
        <f t="shared" si="3"/>
        <v>23.705722070844686</v>
      </c>
      <c r="J201" s="31"/>
      <c r="K201" s="25">
        <v>171.12258086684389</v>
      </c>
      <c r="L201" s="19">
        <v>0.31018614768981928</v>
      </c>
      <c r="M201" s="23">
        <v>231.52106217790819</v>
      </c>
      <c r="N201" s="19">
        <v>0.32213878631591802</v>
      </c>
      <c r="O201" s="23">
        <v>165.47494592573659</v>
      </c>
      <c r="P201" s="26">
        <v>0.27725720405578608</v>
      </c>
    </row>
    <row r="202" spans="1:16" x14ac:dyDescent="0.3">
      <c r="A202" s="30" t="s">
        <v>203</v>
      </c>
      <c r="B202" s="3">
        <v>367</v>
      </c>
      <c r="C202" s="2">
        <v>122</v>
      </c>
      <c r="D202" s="19">
        <v>0.45185685157775879</v>
      </c>
      <c r="E202" s="2">
        <v>229</v>
      </c>
      <c r="F202" s="19">
        <v>0.33613419532775879</v>
      </c>
      <c r="G202" s="2">
        <v>293</v>
      </c>
      <c r="H202" s="19">
        <v>0.28423905372619629</v>
      </c>
      <c r="I202" s="14">
        <f t="shared" si="3"/>
        <v>20.163487738419619</v>
      </c>
      <c r="J202" s="31"/>
      <c r="K202" s="25">
        <v>155.19999999999999</v>
      </c>
      <c r="L202" s="19">
        <v>0.3121647834777832</v>
      </c>
      <c r="M202" s="23">
        <v>229</v>
      </c>
      <c r="N202" s="19">
        <v>0.30504798889160162</v>
      </c>
      <c r="O202" s="23">
        <v>220.4</v>
      </c>
      <c r="P202" s="26">
        <v>0.2902226448059082</v>
      </c>
    </row>
    <row r="203" spans="1:16" x14ac:dyDescent="0.3">
      <c r="A203" s="30" t="s">
        <v>204</v>
      </c>
      <c r="B203" s="3">
        <v>367</v>
      </c>
      <c r="C203" s="2">
        <v>174</v>
      </c>
      <c r="D203" s="19">
        <v>0.6420903205871582</v>
      </c>
      <c r="E203" s="2">
        <v>278</v>
      </c>
      <c r="F203" s="19">
        <v>0.38809657096862787</v>
      </c>
      <c r="G203" s="2">
        <v>242</v>
      </c>
      <c r="H203" s="19">
        <v>0.32014298439025879</v>
      </c>
      <c r="I203" s="14">
        <f t="shared" si="3"/>
        <v>24.250681198910083</v>
      </c>
      <c r="J203" s="31"/>
      <c r="K203" s="25">
        <v>164.9</v>
      </c>
      <c r="L203" s="19">
        <v>0.30817461013793951</v>
      </c>
      <c r="M203" s="23">
        <v>166.2</v>
      </c>
      <c r="N203" s="19">
        <v>0.34108757972717291</v>
      </c>
      <c r="O203" s="23">
        <v>150.26043181647711</v>
      </c>
      <c r="P203" s="26">
        <v>0.31873869895935059</v>
      </c>
    </row>
    <row r="204" spans="1:16" x14ac:dyDescent="0.3">
      <c r="A204" s="30" t="s">
        <v>205</v>
      </c>
      <c r="B204" s="3">
        <v>367</v>
      </c>
      <c r="C204" s="2">
        <v>202</v>
      </c>
      <c r="D204" s="19">
        <v>0.53425860404968262</v>
      </c>
      <c r="E204" s="2">
        <v>278</v>
      </c>
      <c r="F204" s="19">
        <v>0.33835339546203608</v>
      </c>
      <c r="G204" s="2">
        <v>293</v>
      </c>
      <c r="H204" s="19">
        <v>0.31435418128967291</v>
      </c>
      <c r="I204" s="14">
        <f t="shared" si="3"/>
        <v>20.163487738419619</v>
      </c>
      <c r="J204" s="31"/>
      <c r="K204" s="25">
        <v>170.8</v>
      </c>
      <c r="L204" s="19">
        <v>0.35586380958557129</v>
      </c>
      <c r="M204" s="23">
        <v>173.2</v>
      </c>
      <c r="N204" s="19">
        <v>0.32812142372131348</v>
      </c>
      <c r="O204" s="23">
        <v>141.99331005234399</v>
      </c>
      <c r="P204" s="26">
        <v>0.33211088180541992</v>
      </c>
    </row>
    <row r="205" spans="1:16" x14ac:dyDescent="0.3">
      <c r="A205" s="30" t="s">
        <v>206</v>
      </c>
      <c r="B205" s="3">
        <v>412</v>
      </c>
      <c r="C205" s="2">
        <v>245</v>
      </c>
      <c r="D205" s="19">
        <v>0.67516088485717773</v>
      </c>
      <c r="E205" s="2">
        <v>290</v>
      </c>
      <c r="F205" s="19">
        <v>0.48998928070068359</v>
      </c>
      <c r="G205" s="2">
        <v>325</v>
      </c>
      <c r="H205" s="19">
        <v>0.39294838905334473</v>
      </c>
      <c r="I205" s="14">
        <f t="shared" si="3"/>
        <v>21.11650485436893</v>
      </c>
      <c r="J205" s="31"/>
      <c r="K205" s="25">
        <v>217.27574963976841</v>
      </c>
      <c r="L205" s="19">
        <v>0.4418175220489502</v>
      </c>
      <c r="M205" s="23">
        <v>212.4218901242503</v>
      </c>
      <c r="N205" s="19">
        <v>0.37424349784851069</v>
      </c>
      <c r="O205" s="23">
        <v>234.7625576359095</v>
      </c>
      <c r="P205" s="26">
        <v>0.36601924896240229</v>
      </c>
    </row>
    <row r="206" spans="1:16" x14ac:dyDescent="0.3">
      <c r="A206" s="30" t="s">
        <v>207</v>
      </c>
      <c r="B206" s="3">
        <v>412</v>
      </c>
      <c r="C206" s="2">
        <v>242</v>
      </c>
      <c r="D206" s="19">
        <v>0.65671443939208984</v>
      </c>
      <c r="E206" s="2">
        <v>263</v>
      </c>
      <c r="F206" s="19">
        <v>0.49195528030395508</v>
      </c>
      <c r="G206" s="2">
        <v>315</v>
      </c>
      <c r="H206" s="19">
        <v>0.40951061248779302</v>
      </c>
      <c r="I206" s="14">
        <f t="shared" si="3"/>
        <v>23.543689320388349</v>
      </c>
      <c r="J206" s="31"/>
      <c r="K206" s="25">
        <v>221.2632548581818</v>
      </c>
      <c r="L206" s="19">
        <v>0.60602235794067383</v>
      </c>
      <c r="M206" s="23">
        <v>198.4</v>
      </c>
      <c r="N206" s="19">
        <v>0.43982362747192377</v>
      </c>
      <c r="O206" s="23">
        <v>154.97480028516321</v>
      </c>
      <c r="P206" s="26">
        <v>0.40941643714904791</v>
      </c>
    </row>
    <row r="207" spans="1:16" x14ac:dyDescent="0.3">
      <c r="A207" s="30" t="s">
        <v>208</v>
      </c>
      <c r="B207" s="3">
        <v>412</v>
      </c>
      <c r="C207" s="2">
        <v>300</v>
      </c>
      <c r="D207" s="19">
        <v>0.83542227745056152</v>
      </c>
      <c r="E207" s="2">
        <v>290</v>
      </c>
      <c r="F207" s="19">
        <v>0.56766605377197266</v>
      </c>
      <c r="G207" s="2">
        <v>315</v>
      </c>
      <c r="H207" s="19">
        <v>0.46479558944702148</v>
      </c>
      <c r="I207" s="14">
        <f t="shared" si="3"/>
        <v>23.543689320388349</v>
      </c>
      <c r="J207" s="31"/>
      <c r="K207" s="25">
        <v>220.3</v>
      </c>
      <c r="L207" s="19">
        <v>0.56249547004699707</v>
      </c>
      <c r="M207" s="23">
        <v>240.2</v>
      </c>
      <c r="N207" s="19">
        <v>0.46248483657836909</v>
      </c>
      <c r="O207" s="23">
        <v>244.6</v>
      </c>
      <c r="P207" s="26">
        <v>0.40790820121765142</v>
      </c>
    </row>
    <row r="208" spans="1:16" x14ac:dyDescent="0.3">
      <c r="A208" s="30" t="s">
        <v>209</v>
      </c>
      <c r="B208" s="3">
        <v>412</v>
      </c>
      <c r="C208" s="2">
        <v>307</v>
      </c>
      <c r="D208" s="19">
        <v>0.67952394485473633</v>
      </c>
      <c r="E208" s="2">
        <v>293</v>
      </c>
      <c r="F208" s="19">
        <v>0.51795864105224609</v>
      </c>
      <c r="G208" s="2">
        <v>320</v>
      </c>
      <c r="H208" s="19">
        <v>0.39693808555603027</v>
      </c>
      <c r="I208" s="14">
        <f t="shared" si="3"/>
        <v>22.330097087378643</v>
      </c>
      <c r="J208" s="31"/>
      <c r="K208" s="25">
        <v>238.1639566446382</v>
      </c>
      <c r="L208" s="19">
        <v>0.54112339019775391</v>
      </c>
      <c r="M208" s="23">
        <v>241.49299374481359</v>
      </c>
      <c r="N208" s="19">
        <v>0.41289615631103521</v>
      </c>
      <c r="O208" s="23">
        <v>219.3488117049796</v>
      </c>
      <c r="P208" s="26">
        <v>0.45761442184448242</v>
      </c>
    </row>
    <row r="209" spans="1:16" x14ac:dyDescent="0.3">
      <c r="A209" s="30" t="s">
        <v>210</v>
      </c>
      <c r="B209" s="3">
        <v>412</v>
      </c>
      <c r="C209" s="2">
        <v>300</v>
      </c>
      <c r="D209" s="19">
        <v>0.99070954322814941</v>
      </c>
      <c r="E209" s="2">
        <v>315</v>
      </c>
      <c r="F209" s="19">
        <v>0.5036776065826416</v>
      </c>
      <c r="G209" s="2">
        <v>293</v>
      </c>
      <c r="H209" s="19">
        <v>0.4124000072479248</v>
      </c>
      <c r="I209" s="14">
        <f t="shared" si="3"/>
        <v>23.543689320388349</v>
      </c>
      <c r="J209" s="31"/>
      <c r="K209" s="25">
        <v>219.7</v>
      </c>
      <c r="L209" s="19">
        <v>0.53556585311889648</v>
      </c>
      <c r="M209" s="23">
        <v>249</v>
      </c>
      <c r="N209" s="19">
        <v>0.41289448738098139</v>
      </c>
      <c r="O209" s="23">
        <v>242.1</v>
      </c>
      <c r="P209" s="26">
        <v>0.40691065788269037</v>
      </c>
    </row>
    <row r="210" spans="1:16" x14ac:dyDescent="0.3">
      <c r="A210" s="30" t="s">
        <v>211</v>
      </c>
      <c r="B210" s="3">
        <v>412</v>
      </c>
      <c r="C210" s="2">
        <v>208</v>
      </c>
      <c r="D210" s="19">
        <v>0.64629864692687988</v>
      </c>
      <c r="E210" s="2">
        <v>253</v>
      </c>
      <c r="F210" s="19">
        <v>0.47815823554992681</v>
      </c>
      <c r="G210" s="2">
        <v>325</v>
      </c>
      <c r="H210" s="19">
        <v>0.44879937171936041</v>
      </c>
      <c r="I210" s="14">
        <f t="shared" si="3"/>
        <v>21.11650485436893</v>
      </c>
      <c r="J210" s="31"/>
      <c r="K210" s="25">
        <v>208.71752617718781</v>
      </c>
      <c r="L210" s="19">
        <v>0.56019139289855957</v>
      </c>
      <c r="M210" s="23">
        <v>194.99247682838029</v>
      </c>
      <c r="N210" s="19">
        <v>0.50574684143066406</v>
      </c>
      <c r="O210" s="23">
        <v>183.16715593650679</v>
      </c>
      <c r="P210" s="26">
        <v>0.43515515327453608</v>
      </c>
    </row>
    <row r="211" spans="1:16" x14ac:dyDescent="0.3">
      <c r="A211" s="30" t="s">
        <v>212</v>
      </c>
      <c r="B211" s="3">
        <v>412</v>
      </c>
      <c r="C211" s="2">
        <v>192</v>
      </c>
      <c r="D211" s="19">
        <v>0.67600250244140625</v>
      </c>
      <c r="E211" s="2">
        <v>163</v>
      </c>
      <c r="F211" s="19">
        <v>0.57192611694335938</v>
      </c>
      <c r="G211" s="2">
        <v>320</v>
      </c>
      <c r="H211" s="19">
        <v>0.45879721641540527</v>
      </c>
      <c r="I211" s="14">
        <f t="shared" si="3"/>
        <v>22.330097087378643</v>
      </c>
      <c r="J211" s="31"/>
      <c r="K211" s="25">
        <v>150.6333995856516</v>
      </c>
      <c r="L211" s="19">
        <v>0.48370599746704102</v>
      </c>
      <c r="M211" s="23">
        <v>158.12547068651131</v>
      </c>
      <c r="N211" s="19">
        <v>0.48769521713256841</v>
      </c>
      <c r="O211" s="23">
        <v>179.4734625151101</v>
      </c>
      <c r="P211" s="26">
        <v>0.41341805458068848</v>
      </c>
    </row>
    <row r="212" spans="1:16" x14ac:dyDescent="0.3">
      <c r="A212" s="30" t="s">
        <v>213</v>
      </c>
      <c r="B212" s="3">
        <v>412</v>
      </c>
      <c r="C212" s="2">
        <v>242</v>
      </c>
      <c r="D212" s="19">
        <v>0.70492768287658691</v>
      </c>
      <c r="E212" s="2">
        <v>236</v>
      </c>
      <c r="F212" s="19">
        <v>0.58627796173095703</v>
      </c>
      <c r="G212" s="2">
        <v>320</v>
      </c>
      <c r="H212" s="19">
        <v>0.51262831687927246</v>
      </c>
      <c r="I212" s="14">
        <f t="shared" si="3"/>
        <v>22.330097087378643</v>
      </c>
      <c r="J212" s="31"/>
      <c r="K212" s="25">
        <v>155.80000000000001</v>
      </c>
      <c r="L212" s="19">
        <v>0.58600807189941406</v>
      </c>
      <c r="M212" s="23">
        <v>168.7873158018277</v>
      </c>
      <c r="N212" s="19">
        <v>0.50666403770446777</v>
      </c>
      <c r="O212" s="23">
        <v>136.72270605376289</v>
      </c>
      <c r="P212" s="26">
        <v>0.43583393096923828</v>
      </c>
    </row>
    <row r="213" spans="1:16" x14ac:dyDescent="0.3">
      <c r="A213" s="30" t="s">
        <v>214</v>
      </c>
      <c r="B213" s="3">
        <v>412</v>
      </c>
      <c r="C213" s="2">
        <v>208</v>
      </c>
      <c r="D213" s="19">
        <v>0.83064365386962891</v>
      </c>
      <c r="E213" s="2">
        <v>235</v>
      </c>
      <c r="F213" s="19">
        <v>0.57612037658691406</v>
      </c>
      <c r="G213" s="2">
        <v>334</v>
      </c>
      <c r="H213" s="19">
        <v>0.54363393783569336</v>
      </c>
      <c r="I213" s="14">
        <f t="shared" si="3"/>
        <v>18.932038834951456</v>
      </c>
      <c r="J213" s="31"/>
      <c r="K213" s="25">
        <v>185.5725341268093</v>
      </c>
      <c r="L213" s="19">
        <v>0.69576287269592285</v>
      </c>
      <c r="M213" s="23">
        <v>185.5725341268093</v>
      </c>
      <c r="N213" s="19">
        <v>0.53282332420349121</v>
      </c>
      <c r="O213" s="23">
        <v>185.5725341268093</v>
      </c>
      <c r="P213" s="26">
        <v>0.46855282783508301</v>
      </c>
    </row>
    <row r="214" spans="1:16" x14ac:dyDescent="0.3">
      <c r="A214" s="30" t="s">
        <v>215</v>
      </c>
      <c r="B214" s="3">
        <v>504</v>
      </c>
      <c r="C214" s="2">
        <v>290</v>
      </c>
      <c r="D214" s="19">
        <v>0.91199111938476563</v>
      </c>
      <c r="E214" s="2">
        <v>296</v>
      </c>
      <c r="F214" s="19">
        <v>0.51333904266357422</v>
      </c>
      <c r="G214" s="2">
        <v>385</v>
      </c>
      <c r="H214" s="19">
        <v>0.47472977638244629</v>
      </c>
      <c r="I214" s="14">
        <f t="shared" si="3"/>
        <v>23.611111111111111</v>
      </c>
      <c r="J214" s="31"/>
      <c r="K214" s="25">
        <v>241.06050458549879</v>
      </c>
      <c r="L214" s="19">
        <v>0.46375346183776861</v>
      </c>
      <c r="M214" s="23">
        <v>258.25099371669251</v>
      </c>
      <c r="N214" s="19">
        <v>0.47757601737976069</v>
      </c>
      <c r="O214" s="23">
        <v>238.87095906883579</v>
      </c>
      <c r="P214" s="26">
        <v>0.41788244247436518</v>
      </c>
    </row>
    <row r="215" spans="1:16" x14ac:dyDescent="0.3">
      <c r="A215" s="30" t="s">
        <v>216</v>
      </c>
      <c r="B215" s="3">
        <v>504</v>
      </c>
      <c r="C215" s="2">
        <v>303</v>
      </c>
      <c r="D215" s="19">
        <v>0.88531279563903809</v>
      </c>
      <c r="E215" s="2">
        <v>363</v>
      </c>
      <c r="F215" s="19">
        <v>0.53296089172363281</v>
      </c>
      <c r="G215" s="2">
        <v>416</v>
      </c>
      <c r="H215" s="19">
        <v>0.64540719985961914</v>
      </c>
      <c r="I215" s="14">
        <f t="shared" si="3"/>
        <v>17.460317460317459</v>
      </c>
      <c r="J215" s="31"/>
      <c r="K215" s="25">
        <v>262.29437589324141</v>
      </c>
      <c r="L215" s="19">
        <v>0.50534296035766602</v>
      </c>
      <c r="M215" s="23">
        <v>256.33062786018093</v>
      </c>
      <c r="N215" s="19">
        <v>0.43683099746704102</v>
      </c>
      <c r="O215" s="23">
        <v>243.38845160819409</v>
      </c>
      <c r="P215" s="26">
        <v>0.45959186553955078</v>
      </c>
    </row>
    <row r="216" spans="1:16" x14ac:dyDescent="0.3">
      <c r="A216" s="30" t="s">
        <v>217</v>
      </c>
      <c r="B216" s="3">
        <v>504</v>
      </c>
      <c r="C216" s="2">
        <v>320</v>
      </c>
      <c r="D216" s="19">
        <v>1.194566011428833</v>
      </c>
      <c r="E216" s="2">
        <v>329</v>
      </c>
      <c r="F216" s="19">
        <v>0.6387021541595459</v>
      </c>
      <c r="G216" s="2">
        <v>390</v>
      </c>
      <c r="H216" s="19">
        <v>0.6915888786315918</v>
      </c>
      <c r="I216" s="14">
        <f t="shared" si="3"/>
        <v>22.61904761904762</v>
      </c>
      <c r="J216" s="31"/>
      <c r="K216" s="25">
        <v>267.54757683119618</v>
      </c>
      <c r="L216" s="19">
        <v>0.52659058570861816</v>
      </c>
      <c r="M216" s="23">
        <v>270.5</v>
      </c>
      <c r="N216" s="19">
        <v>0.58637189865112305</v>
      </c>
      <c r="O216" s="23">
        <v>254.6</v>
      </c>
      <c r="P216" s="26">
        <v>0.48171114921569819</v>
      </c>
    </row>
    <row r="217" spans="1:16" x14ac:dyDescent="0.3">
      <c r="A217" s="30" t="s">
        <v>218</v>
      </c>
      <c r="B217" s="3">
        <v>504</v>
      </c>
      <c r="C217" s="2">
        <v>295</v>
      </c>
      <c r="D217" s="19">
        <v>1.0224606990814209</v>
      </c>
      <c r="E217" s="2">
        <v>320</v>
      </c>
      <c r="F217" s="19">
        <v>0.53098773956298828</v>
      </c>
      <c r="G217" s="2">
        <v>410</v>
      </c>
      <c r="H217" s="19">
        <v>0.60936760902404785</v>
      </c>
      <c r="I217" s="14">
        <f t="shared" si="3"/>
        <v>18.650793650793652</v>
      </c>
      <c r="J217" s="31"/>
      <c r="K217" s="25">
        <v>253.08676592842721</v>
      </c>
      <c r="L217" s="19">
        <v>0.45462203025817871</v>
      </c>
      <c r="M217" s="23">
        <v>307.59453150858963</v>
      </c>
      <c r="N217" s="19">
        <v>0.57600569725036621</v>
      </c>
      <c r="O217" s="23">
        <v>252.07682083678719</v>
      </c>
      <c r="P217" s="26">
        <v>0.44873619079589838</v>
      </c>
    </row>
    <row r="218" spans="1:16" x14ac:dyDescent="0.3">
      <c r="A218" s="30" t="s">
        <v>219</v>
      </c>
      <c r="B218" s="3">
        <v>504</v>
      </c>
      <c r="C218" s="2">
        <v>272</v>
      </c>
      <c r="D218" s="19">
        <v>0.98055911064147949</v>
      </c>
      <c r="E218" s="2">
        <v>347</v>
      </c>
      <c r="F218" s="19">
        <v>0.73018264770507813</v>
      </c>
      <c r="G218" s="2">
        <v>416</v>
      </c>
      <c r="H218" s="19">
        <v>0.62434697151184082</v>
      </c>
      <c r="I218" s="14">
        <f t="shared" si="3"/>
        <v>17.460317460317459</v>
      </c>
      <c r="J218" s="31"/>
      <c r="K218" s="25">
        <v>243.74139832156419</v>
      </c>
      <c r="L218" s="19">
        <v>0.50065970420837402</v>
      </c>
      <c r="M218" s="23">
        <v>249.821108118263</v>
      </c>
      <c r="N218" s="19">
        <v>0.4954216480255127</v>
      </c>
      <c r="O218" s="23">
        <v>249.821108118263</v>
      </c>
      <c r="P218" s="26">
        <v>0.48570036888122559</v>
      </c>
    </row>
    <row r="219" spans="1:16" x14ac:dyDescent="0.3">
      <c r="A219" s="30" t="s">
        <v>220</v>
      </c>
      <c r="B219" s="3">
        <v>504</v>
      </c>
      <c r="C219" s="2">
        <v>382</v>
      </c>
      <c r="D219" s="19">
        <v>0.91980934143066406</v>
      </c>
      <c r="E219" s="2">
        <v>282</v>
      </c>
      <c r="F219" s="19">
        <v>0.5555272102355957</v>
      </c>
      <c r="G219" s="2">
        <v>405</v>
      </c>
      <c r="H219" s="19">
        <v>0.64928197860717773</v>
      </c>
      <c r="I219" s="14">
        <f t="shared" si="3"/>
        <v>19.642857142857142</v>
      </c>
      <c r="J219" s="31"/>
      <c r="K219" s="25">
        <v>232.3</v>
      </c>
      <c r="L219" s="19">
        <v>0.47465252876281738</v>
      </c>
      <c r="M219" s="23">
        <v>255.6</v>
      </c>
      <c r="N219" s="19">
        <v>0.52872800827026367</v>
      </c>
      <c r="O219" s="23">
        <v>250.4</v>
      </c>
      <c r="P219" s="26">
        <v>0.47491097450256348</v>
      </c>
    </row>
    <row r="220" spans="1:16" x14ac:dyDescent="0.3">
      <c r="A220" s="30" t="s">
        <v>221</v>
      </c>
      <c r="B220" s="3">
        <v>504</v>
      </c>
      <c r="C220" s="2">
        <v>296</v>
      </c>
      <c r="D220" s="19">
        <v>0.78633713722229004</v>
      </c>
      <c r="E220" s="2">
        <v>395</v>
      </c>
      <c r="F220" s="19">
        <v>0.66423273086547852</v>
      </c>
      <c r="G220" s="2">
        <v>355</v>
      </c>
      <c r="H220" s="19">
        <v>0.57546210289001465</v>
      </c>
      <c r="I220" s="14">
        <f t="shared" si="3"/>
        <v>21.626984126984127</v>
      </c>
      <c r="J220" s="31"/>
      <c r="K220" s="25">
        <v>223.87941465412419</v>
      </c>
      <c r="L220" s="19">
        <v>0.48669743537902832</v>
      </c>
      <c r="M220" s="23">
        <v>244.6027648815967</v>
      </c>
      <c r="N220" s="19">
        <v>0.51017117500305176</v>
      </c>
      <c r="O220" s="23">
        <v>260.21387473096053</v>
      </c>
      <c r="P220" s="26">
        <v>0.47971582412719732</v>
      </c>
    </row>
    <row r="221" spans="1:16" x14ac:dyDescent="0.3">
      <c r="A221" s="30" t="s">
        <v>222</v>
      </c>
      <c r="B221" s="3">
        <v>504</v>
      </c>
      <c r="C221" s="2">
        <v>310</v>
      </c>
      <c r="D221" s="19">
        <v>0.80525875091552734</v>
      </c>
      <c r="E221" s="2">
        <v>385</v>
      </c>
      <c r="F221" s="19">
        <v>0.64749574661254883</v>
      </c>
      <c r="G221" s="2">
        <v>390</v>
      </c>
      <c r="H221" s="19">
        <v>0.59782576560974121</v>
      </c>
      <c r="I221" s="14">
        <f t="shared" si="3"/>
        <v>22.61904761904762</v>
      </c>
      <c r="J221" s="31"/>
      <c r="K221" s="25">
        <v>247.9939133582605</v>
      </c>
      <c r="L221" s="19">
        <v>0.51578426361083984</v>
      </c>
      <c r="M221" s="23">
        <v>230.96424731914999</v>
      </c>
      <c r="N221" s="19">
        <v>0.53511643409729004</v>
      </c>
      <c r="O221" s="23">
        <v>236.89828817029229</v>
      </c>
      <c r="P221" s="26">
        <v>0.5424644947052002</v>
      </c>
    </row>
    <row r="222" spans="1:16" x14ac:dyDescent="0.3">
      <c r="A222" s="30" t="s">
        <v>223</v>
      </c>
      <c r="B222" s="3">
        <v>504</v>
      </c>
      <c r="C222" s="2">
        <v>283</v>
      </c>
      <c r="D222" s="19">
        <v>0.87483644485473633</v>
      </c>
      <c r="E222" s="2">
        <v>281</v>
      </c>
      <c r="F222" s="19">
        <v>0.60176825523376465</v>
      </c>
      <c r="G222" s="2">
        <v>416</v>
      </c>
      <c r="H222" s="19">
        <v>0.52459621429443359</v>
      </c>
      <c r="I222" s="14">
        <f t="shared" si="3"/>
        <v>17.460317460317459</v>
      </c>
      <c r="J222" s="31"/>
      <c r="K222" s="25">
        <v>237.32208792532791</v>
      </c>
      <c r="L222" s="19">
        <v>0.58044743537902832</v>
      </c>
      <c r="M222" s="23">
        <v>216.6331104165142</v>
      </c>
      <c r="N222" s="19">
        <v>0.67020630836486816</v>
      </c>
      <c r="O222" s="23">
        <v>212.4</v>
      </c>
      <c r="P222" s="26">
        <v>0.5245964527130127</v>
      </c>
    </row>
    <row r="223" spans="1:16" x14ac:dyDescent="0.3">
      <c r="A223" s="30" t="s">
        <v>224</v>
      </c>
      <c r="B223" s="3">
        <v>590</v>
      </c>
      <c r="C223" s="2">
        <v>320</v>
      </c>
      <c r="D223" s="19">
        <v>0.79095935821533203</v>
      </c>
      <c r="E223" s="2">
        <v>354</v>
      </c>
      <c r="F223" s="19">
        <v>0.66880035400390625</v>
      </c>
      <c r="G223" s="2">
        <v>451</v>
      </c>
      <c r="H223" s="19">
        <v>0.8918454647064209</v>
      </c>
      <c r="I223" s="14">
        <f t="shared" si="3"/>
        <v>23.559322033898304</v>
      </c>
      <c r="J223" s="31"/>
      <c r="K223" s="25">
        <v>279.27932509902882</v>
      </c>
      <c r="L223" s="19">
        <v>0.49397373199462891</v>
      </c>
      <c r="M223" s="23">
        <v>301.6741311416755</v>
      </c>
      <c r="N223" s="19">
        <v>0.5283656120300293</v>
      </c>
      <c r="O223" s="23">
        <v>266.88597979026991</v>
      </c>
      <c r="P223" s="26">
        <v>0.46796369552612299</v>
      </c>
    </row>
    <row r="224" spans="1:16" x14ac:dyDescent="0.3">
      <c r="A224" s="30" t="s">
        <v>225</v>
      </c>
      <c r="B224" s="3">
        <v>590</v>
      </c>
      <c r="C224" s="2">
        <v>316</v>
      </c>
      <c r="D224" s="19">
        <v>0.71051502227783203</v>
      </c>
      <c r="E224" s="2">
        <v>471</v>
      </c>
      <c r="F224" s="19">
        <v>0.63258647918701172</v>
      </c>
      <c r="G224" s="2">
        <v>420</v>
      </c>
      <c r="H224" s="19">
        <v>0.59697818756103516</v>
      </c>
      <c r="I224" s="14">
        <f t="shared" si="3"/>
        <v>20.16949152542373</v>
      </c>
      <c r="J224" s="31"/>
      <c r="K224" s="25">
        <v>318.50163815340181</v>
      </c>
      <c r="L224" s="19">
        <v>0.50066041946411133</v>
      </c>
      <c r="M224" s="23">
        <v>323.96411501547863</v>
      </c>
      <c r="N224" s="19">
        <v>0.55351924896240234</v>
      </c>
      <c r="O224" s="23">
        <v>318.42509076449397</v>
      </c>
      <c r="P224" s="26">
        <v>0.49467587471008301</v>
      </c>
    </row>
    <row r="225" spans="1:16" x14ac:dyDescent="0.3">
      <c r="A225" s="30" t="s">
        <v>226</v>
      </c>
      <c r="B225" s="3">
        <v>590</v>
      </c>
      <c r="C225" s="2">
        <v>381</v>
      </c>
      <c r="D225" s="19">
        <v>1.1718089580535891</v>
      </c>
      <c r="E225" s="2">
        <v>458</v>
      </c>
      <c r="F225" s="19">
        <v>0.6463782787322998</v>
      </c>
      <c r="G225" s="2">
        <v>431</v>
      </c>
      <c r="H225" s="19">
        <v>0.64427590370178223</v>
      </c>
      <c r="I225" s="14">
        <f t="shared" si="3"/>
        <v>22.372881355932204</v>
      </c>
      <c r="J225" s="31"/>
      <c r="K225" s="25">
        <v>279.59332933438043</v>
      </c>
      <c r="L225" s="19">
        <v>0.58086180686950684</v>
      </c>
      <c r="M225" s="23">
        <v>271.20259112966352</v>
      </c>
      <c r="N225" s="19">
        <v>0.56918096542358398</v>
      </c>
      <c r="O225" s="23">
        <v>282.42284019229288</v>
      </c>
      <c r="P225" s="26">
        <v>0.50986123085021973</v>
      </c>
    </row>
    <row r="226" spans="1:16" x14ac:dyDescent="0.3">
      <c r="A226" s="30" t="s">
        <v>227</v>
      </c>
      <c r="B226" s="3">
        <v>590</v>
      </c>
      <c r="C226" s="2">
        <v>425</v>
      </c>
      <c r="D226" s="19">
        <v>1.4783897399902339</v>
      </c>
      <c r="E226" s="2">
        <v>446</v>
      </c>
      <c r="F226" s="19">
        <v>0.63833022117614746</v>
      </c>
      <c r="G226" s="2">
        <v>450</v>
      </c>
      <c r="H226" s="19">
        <v>0.74468040466308594</v>
      </c>
      <c r="I226" s="14">
        <f t="shared" si="3"/>
        <v>23.728813559322035</v>
      </c>
      <c r="J226" s="31"/>
      <c r="K226" s="25">
        <v>367.59944417719248</v>
      </c>
      <c r="L226" s="19">
        <v>0.53556632995605469</v>
      </c>
      <c r="M226" s="23">
        <v>374.97632121266878</v>
      </c>
      <c r="N226" s="19">
        <v>0.60294270515441895</v>
      </c>
      <c r="O226" s="23">
        <v>372.3673146608615</v>
      </c>
      <c r="P226" s="26">
        <v>0.50863885879516602</v>
      </c>
    </row>
    <row r="227" spans="1:16" x14ac:dyDescent="0.3">
      <c r="A227" s="30" t="s">
        <v>228</v>
      </c>
      <c r="B227" s="3">
        <v>590</v>
      </c>
      <c r="C227" s="2">
        <v>417</v>
      </c>
      <c r="D227" s="19">
        <v>1.372742891311646</v>
      </c>
      <c r="E227" s="2">
        <v>398</v>
      </c>
      <c r="F227" s="19">
        <v>0.75086379051208496</v>
      </c>
      <c r="G227" s="2">
        <v>458</v>
      </c>
      <c r="H227" s="19">
        <v>0.83880901336669922</v>
      </c>
      <c r="I227" s="14">
        <f t="shared" si="3"/>
        <v>22.372881355932204</v>
      </c>
      <c r="J227" s="31"/>
      <c r="K227" s="25">
        <v>299.17902182508283</v>
      </c>
      <c r="L227" s="19">
        <v>0.52376246452331543</v>
      </c>
      <c r="M227" s="23">
        <v>347.30466532527203</v>
      </c>
      <c r="N227" s="19">
        <v>0.57949185371398926</v>
      </c>
      <c r="O227" s="23">
        <v>340.77990736227753</v>
      </c>
      <c r="P227" s="26">
        <v>0.49515247344970698</v>
      </c>
    </row>
    <row r="228" spans="1:16" x14ac:dyDescent="0.3">
      <c r="A228" s="30" t="s">
        <v>229</v>
      </c>
      <c r="B228" s="3">
        <v>590</v>
      </c>
      <c r="C228" s="2">
        <v>366</v>
      </c>
      <c r="D228" s="19">
        <v>1.2975809574127199</v>
      </c>
      <c r="E228" s="2">
        <v>471</v>
      </c>
      <c r="F228" s="19">
        <v>1.04425573348999</v>
      </c>
      <c r="G228" s="2">
        <v>486</v>
      </c>
      <c r="H228" s="19">
        <v>0.79155921936035156</v>
      </c>
      <c r="I228" s="14">
        <f t="shared" si="3"/>
        <v>17.627118644067796</v>
      </c>
      <c r="J228" s="31"/>
      <c r="K228" s="25">
        <v>275.81104587281777</v>
      </c>
      <c r="L228" s="19">
        <v>0.51960849761962891</v>
      </c>
      <c r="M228" s="23">
        <v>392.84631626778872</v>
      </c>
      <c r="N228" s="19">
        <v>0.6276710033416748</v>
      </c>
      <c r="O228" s="23">
        <v>284.15480067573799</v>
      </c>
      <c r="P228" s="26">
        <v>0.53556585311889648</v>
      </c>
    </row>
    <row r="229" spans="1:16" x14ac:dyDescent="0.3">
      <c r="A229" s="30" t="s">
        <v>230</v>
      </c>
      <c r="B229" s="3">
        <v>590</v>
      </c>
      <c r="C229" s="2">
        <v>408</v>
      </c>
      <c r="D229" s="19">
        <v>0.96288204193115234</v>
      </c>
      <c r="E229" s="2">
        <v>471</v>
      </c>
      <c r="F229" s="19">
        <v>1.279818058013916</v>
      </c>
      <c r="G229" s="2">
        <v>425</v>
      </c>
      <c r="H229" s="19">
        <v>0.89050912857055664</v>
      </c>
      <c r="I229" s="14">
        <f t="shared" si="3"/>
        <v>20.16949152542373</v>
      </c>
      <c r="J229" s="31"/>
      <c r="K229" s="25">
        <v>335.5023924079523</v>
      </c>
      <c r="L229" s="19">
        <v>0.57592511177062988</v>
      </c>
      <c r="M229" s="23">
        <v>312.02297335999259</v>
      </c>
      <c r="N229" s="19">
        <v>0.56847906112670898</v>
      </c>
      <c r="O229" s="23">
        <v>354.09712438126269</v>
      </c>
      <c r="P229" s="26">
        <v>0.54347920417785645</v>
      </c>
    </row>
    <row r="230" spans="1:16" x14ac:dyDescent="0.3">
      <c r="A230" s="30" t="s">
        <v>231</v>
      </c>
      <c r="B230" s="3">
        <v>590</v>
      </c>
      <c r="C230" s="2">
        <v>394</v>
      </c>
      <c r="D230" s="19">
        <v>0.98494172096252441</v>
      </c>
      <c r="E230" s="2">
        <v>362</v>
      </c>
      <c r="F230" s="19">
        <v>1.094994068145752</v>
      </c>
      <c r="G230" s="2">
        <v>508</v>
      </c>
      <c r="H230" s="19">
        <v>0.81632328033447266</v>
      </c>
      <c r="I230" s="14">
        <f t="shared" si="3"/>
        <v>13.898305084745763</v>
      </c>
      <c r="J230" s="31"/>
      <c r="K230" s="25">
        <v>366.33684156962238</v>
      </c>
      <c r="L230" s="19">
        <v>0.56931471824645996</v>
      </c>
      <c r="M230" s="23">
        <v>307.82734105740798</v>
      </c>
      <c r="N230" s="19">
        <v>0.61384916305541992</v>
      </c>
      <c r="O230" s="23">
        <v>293.89123182495911</v>
      </c>
      <c r="P230" s="26">
        <v>0.53456950187683105</v>
      </c>
    </row>
    <row r="231" spans="1:16" x14ac:dyDescent="0.3">
      <c r="A231" s="30" t="s">
        <v>232</v>
      </c>
      <c r="B231" s="3">
        <v>590</v>
      </c>
      <c r="C231" s="2">
        <v>331</v>
      </c>
      <c r="D231" s="19">
        <v>0.8841702938079834</v>
      </c>
      <c r="E231" s="2">
        <v>344</v>
      </c>
      <c r="F231" s="19">
        <v>1.217894554138184</v>
      </c>
      <c r="G231" s="2">
        <v>450</v>
      </c>
      <c r="H231" s="19">
        <v>0.7081301212310791</v>
      </c>
      <c r="I231" s="14">
        <f t="shared" si="3"/>
        <v>23.728813559322035</v>
      </c>
      <c r="J231" s="31"/>
      <c r="K231" s="25">
        <v>280.74597032376619</v>
      </c>
      <c r="L231" s="19">
        <v>0.63348221778869629</v>
      </c>
      <c r="M231" s="23">
        <v>399.62897822235749</v>
      </c>
      <c r="N231" s="19">
        <v>0.61104607582092285</v>
      </c>
      <c r="O231" s="23">
        <v>292.00616898876552</v>
      </c>
      <c r="P231" s="26">
        <v>0.61729311943054199</v>
      </c>
    </row>
    <row r="232" spans="1:16" x14ac:dyDescent="0.3">
      <c r="A232" s="30" t="s">
        <v>233</v>
      </c>
      <c r="B232" s="3">
        <v>652</v>
      </c>
      <c r="C232" s="2">
        <v>450</v>
      </c>
      <c r="D232" s="19">
        <v>0.79415082931518555</v>
      </c>
      <c r="E232" s="2">
        <v>511</v>
      </c>
      <c r="F232" s="19">
        <v>1.034720659255981</v>
      </c>
      <c r="G232" s="2">
        <v>578</v>
      </c>
      <c r="H232" s="19">
        <v>0.8001399040222168</v>
      </c>
      <c r="I232" s="14">
        <f t="shared" si="3"/>
        <v>11.349693251533742</v>
      </c>
      <c r="J232" s="31"/>
      <c r="K232" s="25">
        <v>392.29253796666222</v>
      </c>
      <c r="L232" s="19">
        <v>0.58518338203430176</v>
      </c>
      <c r="M232" s="23">
        <v>456.01902348756312</v>
      </c>
      <c r="N232" s="19">
        <v>0.58703374862670898</v>
      </c>
      <c r="O232" s="23">
        <v>388.58347119293433</v>
      </c>
      <c r="P232" s="26">
        <v>0.57180023193359375</v>
      </c>
    </row>
    <row r="233" spans="1:16" x14ac:dyDescent="0.3">
      <c r="A233" s="30" t="s">
        <v>234</v>
      </c>
      <c r="B233" s="3">
        <v>652</v>
      </c>
      <c r="C233" s="2">
        <v>482</v>
      </c>
      <c r="D233" s="19">
        <v>0.82740926742553711</v>
      </c>
      <c r="E233" s="2">
        <v>488</v>
      </c>
      <c r="F233" s="19">
        <v>0.70838260650634766</v>
      </c>
      <c r="G233" s="2">
        <v>543</v>
      </c>
      <c r="H233" s="19">
        <v>0.6981041431427002</v>
      </c>
      <c r="I233" s="14">
        <f t="shared" si="3"/>
        <v>16.717791411042946</v>
      </c>
      <c r="J233" s="31"/>
      <c r="K233" s="25">
        <v>376.09242124487099</v>
      </c>
      <c r="L233" s="19">
        <v>0.55551385879516602</v>
      </c>
      <c r="M233" s="23">
        <v>388.58481087207309</v>
      </c>
      <c r="N233" s="19">
        <v>0.53622770309448242</v>
      </c>
      <c r="O233" s="23">
        <v>405.03781323890729</v>
      </c>
      <c r="P233" s="26">
        <v>0.53874325752258301</v>
      </c>
    </row>
    <row r="234" spans="1:16" x14ac:dyDescent="0.3">
      <c r="A234" s="30" t="s">
        <v>235</v>
      </c>
      <c r="B234" s="3">
        <v>652</v>
      </c>
      <c r="C234" s="2">
        <v>364</v>
      </c>
      <c r="D234" s="19">
        <v>0.852508544921875</v>
      </c>
      <c r="E234" s="2">
        <v>406</v>
      </c>
      <c r="F234" s="19">
        <v>0.73612213134765625</v>
      </c>
      <c r="G234" s="2">
        <v>519</v>
      </c>
      <c r="H234" s="19">
        <v>0.66721463203430176</v>
      </c>
      <c r="I234" s="14">
        <f t="shared" si="3"/>
        <v>20.398773006134967</v>
      </c>
      <c r="J234" s="31"/>
      <c r="K234" s="25">
        <v>362.4034224904658</v>
      </c>
      <c r="L234" s="19">
        <v>0.53026914596557617</v>
      </c>
      <c r="M234" s="23">
        <v>390.2</v>
      </c>
      <c r="N234" s="19">
        <v>0.57745456695556641</v>
      </c>
      <c r="O234" s="23">
        <v>540.8456899273466</v>
      </c>
      <c r="P234" s="26">
        <v>0.61931228637695313</v>
      </c>
    </row>
    <row r="235" spans="1:16" x14ac:dyDescent="0.3">
      <c r="A235" s="30" t="s">
        <v>236</v>
      </c>
      <c r="B235" s="3">
        <v>652</v>
      </c>
      <c r="C235" s="2">
        <v>438</v>
      </c>
      <c r="D235" s="19">
        <v>0.86679577827453613</v>
      </c>
      <c r="E235" s="2">
        <v>437</v>
      </c>
      <c r="F235" s="19">
        <v>0.76880693435668945</v>
      </c>
      <c r="G235" s="2">
        <v>573</v>
      </c>
      <c r="H235" s="19">
        <v>0.74926161766052246</v>
      </c>
      <c r="I235" s="14">
        <f t="shared" si="3"/>
        <v>12.116564417177914</v>
      </c>
      <c r="J235" s="31"/>
      <c r="K235" s="25">
        <v>392.57460497791232</v>
      </c>
      <c r="L235" s="19">
        <v>0.77253246307373047</v>
      </c>
      <c r="M235" s="23">
        <v>404.50662060644402</v>
      </c>
      <c r="N235" s="19">
        <v>0.5740361213684082</v>
      </c>
      <c r="O235" s="23">
        <v>389.37109879257753</v>
      </c>
      <c r="P235" s="26">
        <v>0.54454231262207031</v>
      </c>
    </row>
    <row r="236" spans="1:16" x14ac:dyDescent="0.3">
      <c r="A236" s="30" t="s">
        <v>237</v>
      </c>
      <c r="B236" s="3">
        <v>652</v>
      </c>
      <c r="C236" s="2">
        <v>490</v>
      </c>
      <c r="D236" s="19">
        <v>0.87893366813659668</v>
      </c>
      <c r="E236" s="2">
        <v>442</v>
      </c>
      <c r="F236" s="19">
        <v>0.66747641563415527</v>
      </c>
      <c r="G236" s="2">
        <v>515</v>
      </c>
      <c r="H236" s="19">
        <v>0.71125221252441406</v>
      </c>
      <c r="I236" s="14">
        <f t="shared" si="3"/>
        <v>21.012269938650306</v>
      </c>
      <c r="J236" s="31"/>
      <c r="K236" s="25">
        <v>405.21501214309518</v>
      </c>
      <c r="L236" s="19">
        <v>0.78190732002258301</v>
      </c>
      <c r="M236" s="23">
        <v>411.98241203036667</v>
      </c>
      <c r="N236" s="19">
        <v>0.71257758140563965</v>
      </c>
      <c r="O236" s="23">
        <v>430.54064714771761</v>
      </c>
      <c r="P236" s="26">
        <v>0.58532881736755371</v>
      </c>
    </row>
    <row r="237" spans="1:16" x14ac:dyDescent="0.3">
      <c r="A237" s="30" t="s">
        <v>238</v>
      </c>
      <c r="B237" s="3">
        <v>652</v>
      </c>
      <c r="C237" s="2">
        <v>420</v>
      </c>
      <c r="D237" s="19">
        <v>0.87177801132202148</v>
      </c>
      <c r="E237" s="2">
        <v>424</v>
      </c>
      <c r="F237" s="19">
        <v>0.68101215362548828</v>
      </c>
      <c r="G237" s="2">
        <v>508</v>
      </c>
      <c r="H237" s="19">
        <v>0.62432956695556641</v>
      </c>
      <c r="I237" s="14">
        <f t="shared" si="3"/>
        <v>22.085889570552148</v>
      </c>
      <c r="J237" s="31"/>
      <c r="K237" s="25">
        <v>404.30919896418851</v>
      </c>
      <c r="L237" s="19">
        <v>0.59500908851623535</v>
      </c>
      <c r="M237" s="23">
        <v>401.64686608672002</v>
      </c>
      <c r="N237" s="19">
        <v>0.66276407241821289</v>
      </c>
      <c r="O237" s="23">
        <v>397.49191290036799</v>
      </c>
      <c r="P237" s="26">
        <v>0.54952883720397949</v>
      </c>
    </row>
    <row r="238" spans="1:16" x14ac:dyDescent="0.3">
      <c r="A238" s="30" t="s">
        <v>239</v>
      </c>
      <c r="B238" s="3">
        <v>652</v>
      </c>
      <c r="C238" s="2">
        <v>470</v>
      </c>
      <c r="D238" s="19">
        <v>0.97655534744262695</v>
      </c>
      <c r="E238" s="2">
        <v>492</v>
      </c>
      <c r="F238" s="19">
        <v>0.84894323348999023</v>
      </c>
      <c r="G238" s="2">
        <v>545</v>
      </c>
      <c r="H238" s="19">
        <v>0.67320752143859863</v>
      </c>
      <c r="I238" s="14">
        <f t="shared" si="3"/>
        <v>16.411042944785276</v>
      </c>
      <c r="J238" s="31"/>
      <c r="K238" s="25">
        <v>356.97256065215868</v>
      </c>
      <c r="L238" s="19">
        <v>0.67388510704040527</v>
      </c>
      <c r="M238" s="23">
        <v>433.4401162813387</v>
      </c>
      <c r="N238" s="19">
        <v>0.78348278999328613</v>
      </c>
      <c r="O238" s="23">
        <v>413.55326482104778</v>
      </c>
      <c r="P238" s="26">
        <v>0.58715558052062988</v>
      </c>
    </row>
    <row r="239" spans="1:16" x14ac:dyDescent="0.3">
      <c r="A239" s="30" t="s">
        <v>240</v>
      </c>
      <c r="B239" s="3">
        <v>652</v>
      </c>
      <c r="C239" s="2">
        <v>444</v>
      </c>
      <c r="D239" s="19">
        <v>0.90070104598999023</v>
      </c>
      <c r="E239" s="2">
        <v>469</v>
      </c>
      <c r="F239" s="19">
        <v>0.78936195373535156</v>
      </c>
      <c r="G239" s="2">
        <v>515</v>
      </c>
      <c r="H239" s="19">
        <v>0.69338536262512207</v>
      </c>
      <c r="I239" s="14">
        <f t="shared" si="3"/>
        <v>21.012269938650306</v>
      </c>
      <c r="J239" s="31"/>
      <c r="K239" s="25">
        <v>407.80815385836888</v>
      </c>
      <c r="L239" s="19">
        <v>0.66023516654968262</v>
      </c>
      <c r="M239" s="23">
        <v>377.96651523599911</v>
      </c>
      <c r="N239" s="19">
        <v>0.61589455604553223</v>
      </c>
      <c r="O239" s="23">
        <v>353.61864948451381</v>
      </c>
      <c r="P239" s="26">
        <v>0.56800627708435059</v>
      </c>
    </row>
    <row r="240" spans="1:16" x14ac:dyDescent="0.3">
      <c r="A240" s="30" t="s">
        <v>241</v>
      </c>
      <c r="B240" s="3">
        <v>652</v>
      </c>
      <c r="C240" s="2">
        <v>447</v>
      </c>
      <c r="D240" s="19">
        <v>0.91471958160400391</v>
      </c>
      <c r="E240" s="2">
        <v>511</v>
      </c>
      <c r="F240" s="19">
        <v>0.80799198150634766</v>
      </c>
      <c r="G240" s="2">
        <v>502</v>
      </c>
      <c r="H240" s="19">
        <v>0.84848475456237793</v>
      </c>
      <c r="I240" s="14">
        <f t="shared" si="3"/>
        <v>21.625766871165645</v>
      </c>
      <c r="J240" s="31"/>
      <c r="K240" s="25">
        <v>414.936714877329</v>
      </c>
      <c r="L240" s="19">
        <v>0.72510695457458496</v>
      </c>
      <c r="M240" s="23">
        <v>416.40036639340468</v>
      </c>
      <c r="N240" s="19">
        <v>0.69214820861816406</v>
      </c>
      <c r="O240" s="23">
        <v>375.50262107374562</v>
      </c>
      <c r="P240" s="26">
        <v>0.62744569778442383</v>
      </c>
    </row>
    <row r="241" spans="1:16" x14ac:dyDescent="0.3">
      <c r="A241" s="30" t="s">
        <v>242</v>
      </c>
      <c r="B241" s="3">
        <v>725</v>
      </c>
      <c r="C241" s="2">
        <v>569</v>
      </c>
      <c r="D241" s="19">
        <v>0.99302530288696289</v>
      </c>
      <c r="E241" s="2">
        <v>561</v>
      </c>
      <c r="F241" s="19">
        <v>0.78594970703125</v>
      </c>
      <c r="G241" s="2">
        <v>631</v>
      </c>
      <c r="H241" s="19">
        <v>0.8143460750579834</v>
      </c>
      <c r="I241" s="14">
        <f t="shared" si="3"/>
        <v>12.96551724137931</v>
      </c>
      <c r="J241" s="31"/>
      <c r="K241" s="25">
        <v>515.86021566948216</v>
      </c>
      <c r="L241" s="19">
        <v>0.66193246841430664</v>
      </c>
      <c r="M241" s="23">
        <v>565.52349453515626</v>
      </c>
      <c r="N241" s="19">
        <v>0.73667693138122559</v>
      </c>
      <c r="O241" s="23">
        <v>442.30799459519773</v>
      </c>
      <c r="P241" s="26">
        <v>0.59646725654602051</v>
      </c>
    </row>
    <row r="242" spans="1:16" x14ac:dyDescent="0.3">
      <c r="A242" s="30" t="s">
        <v>243</v>
      </c>
      <c r="B242" s="3">
        <v>725</v>
      </c>
      <c r="C242" s="2">
        <v>509</v>
      </c>
      <c r="D242" s="19">
        <v>0.99740242958068848</v>
      </c>
      <c r="E242" s="2">
        <v>590</v>
      </c>
      <c r="F242" s="19">
        <v>0.79150152206420898</v>
      </c>
      <c r="G242" s="2">
        <v>541</v>
      </c>
      <c r="H242" s="19">
        <v>0.70929455757141113</v>
      </c>
      <c r="I242" s="14">
        <f t="shared" si="3"/>
        <v>18.620689655172416</v>
      </c>
      <c r="J242" s="31"/>
      <c r="K242" s="25">
        <v>472.23586565922881</v>
      </c>
      <c r="L242" s="19">
        <v>0.63330531120300293</v>
      </c>
      <c r="M242" s="23">
        <v>415.85518490454638</v>
      </c>
      <c r="N242" s="19">
        <v>0.67481875419616699</v>
      </c>
      <c r="O242" s="23">
        <v>431.96654056142768</v>
      </c>
      <c r="P242" s="26">
        <v>0.60039353370666504</v>
      </c>
    </row>
    <row r="243" spans="1:16" x14ac:dyDescent="0.3">
      <c r="A243" s="30" t="s">
        <v>244</v>
      </c>
      <c r="B243" s="3">
        <v>725</v>
      </c>
      <c r="C243" s="2">
        <v>497</v>
      </c>
      <c r="D243" s="19">
        <v>0.95149827003479004</v>
      </c>
      <c r="E243" s="2">
        <v>493</v>
      </c>
      <c r="F243" s="19">
        <v>0.76618027687072754</v>
      </c>
      <c r="G243" s="2">
        <v>605</v>
      </c>
      <c r="H243" s="19">
        <v>0.75803685188293457</v>
      </c>
      <c r="I243" s="14">
        <f t="shared" si="3"/>
        <v>16.551724137931036</v>
      </c>
      <c r="J243" s="31"/>
      <c r="K243" s="25">
        <v>400.35986650965071</v>
      </c>
      <c r="L243" s="19">
        <v>0.59798216819763184</v>
      </c>
      <c r="M243" s="23">
        <v>422.97896726473721</v>
      </c>
      <c r="N243" s="19">
        <v>0.57446074485778809</v>
      </c>
      <c r="O243" s="23">
        <v>444.32079114321971</v>
      </c>
      <c r="P243" s="26">
        <v>0.610504150390625</v>
      </c>
    </row>
    <row r="244" spans="1:16" x14ac:dyDescent="0.3">
      <c r="A244" s="30" t="s">
        <v>245</v>
      </c>
      <c r="B244" s="3">
        <v>725</v>
      </c>
      <c r="C244" s="2">
        <v>545</v>
      </c>
      <c r="D244" s="19">
        <v>1.0309100151062009</v>
      </c>
      <c r="E244" s="2">
        <v>569</v>
      </c>
      <c r="F244" s="19">
        <v>0.81960415840148926</v>
      </c>
      <c r="G244" s="2">
        <v>623</v>
      </c>
      <c r="H244" s="19">
        <v>0.77398252487182617</v>
      </c>
      <c r="I244" s="14">
        <f t="shared" si="3"/>
        <v>14.068965517241381</v>
      </c>
      <c r="J244" s="31"/>
      <c r="K244" s="25">
        <v>481.23971531665359</v>
      </c>
      <c r="L244" s="19">
        <v>0.6893315315246582</v>
      </c>
      <c r="M244" s="23">
        <v>503.91946286145799</v>
      </c>
      <c r="N244" s="19">
        <v>0.68203330039978027</v>
      </c>
      <c r="O244" s="23">
        <v>454.84196208830491</v>
      </c>
      <c r="P244" s="26">
        <v>0.62859249114990234</v>
      </c>
    </row>
    <row r="245" spans="1:16" x14ac:dyDescent="0.3">
      <c r="A245" s="30" t="s">
        <v>246</v>
      </c>
      <c r="B245" s="3">
        <v>725</v>
      </c>
      <c r="C245" s="2">
        <v>548</v>
      </c>
      <c r="D245" s="19">
        <v>1.010003328323364</v>
      </c>
      <c r="E245" s="2">
        <v>606</v>
      </c>
      <c r="F245" s="19">
        <v>0.78443050384521484</v>
      </c>
      <c r="G245" s="2">
        <v>612</v>
      </c>
      <c r="H245" s="19">
        <v>0.68915724754333496</v>
      </c>
      <c r="I245" s="14">
        <f t="shared" si="3"/>
        <v>15.586206896551724</v>
      </c>
      <c r="J245" s="31"/>
      <c r="K245" s="25">
        <v>420.08878765594159</v>
      </c>
      <c r="L245" s="19">
        <v>0.62732267379760742</v>
      </c>
      <c r="M245" s="23">
        <v>488.59992010568089</v>
      </c>
      <c r="N245" s="19">
        <v>0.62593221664428711</v>
      </c>
      <c r="O245" s="23">
        <v>460.34452524598612</v>
      </c>
      <c r="P245" s="26">
        <v>0.61886739730834961</v>
      </c>
    </row>
    <row r="246" spans="1:16" x14ac:dyDescent="0.3">
      <c r="A246" s="30" t="s">
        <v>247</v>
      </c>
      <c r="B246" s="3">
        <v>725</v>
      </c>
      <c r="C246" s="2">
        <v>483</v>
      </c>
      <c r="D246" s="19">
        <v>0.9507601261138916</v>
      </c>
      <c r="E246" s="2">
        <v>490</v>
      </c>
      <c r="F246" s="19">
        <v>0.92771267890930176</v>
      </c>
      <c r="G246" s="2">
        <v>583</v>
      </c>
      <c r="H246" s="19">
        <v>0.77852129936218262</v>
      </c>
      <c r="I246" s="14">
        <f t="shared" si="3"/>
        <v>19.586206896551726</v>
      </c>
      <c r="J246" s="31"/>
      <c r="K246" s="25">
        <v>404.82136524679419</v>
      </c>
      <c r="L246" s="19">
        <v>0.63156652450561523</v>
      </c>
      <c r="M246" s="23">
        <v>455.26234840274338</v>
      </c>
      <c r="N246" s="19">
        <v>0.64028668403625488</v>
      </c>
      <c r="O246" s="23">
        <v>465.32970589708941</v>
      </c>
      <c r="P246" s="26">
        <v>0.60394167900085449</v>
      </c>
    </row>
    <row r="247" spans="1:16" x14ac:dyDescent="0.3">
      <c r="A247" s="30" t="s">
        <v>248</v>
      </c>
      <c r="B247" s="3">
        <v>725</v>
      </c>
      <c r="C247" s="2">
        <v>556</v>
      </c>
      <c r="D247" s="19">
        <v>1.050352096557617</v>
      </c>
      <c r="E247" s="2">
        <v>619</v>
      </c>
      <c r="F247" s="19">
        <v>0.89865946769714355</v>
      </c>
      <c r="G247" s="2">
        <v>637</v>
      </c>
      <c r="H247" s="19">
        <v>0.8360443115234375</v>
      </c>
      <c r="I247" s="14">
        <f t="shared" si="3"/>
        <v>12.137931034482758</v>
      </c>
      <c r="J247" s="31"/>
      <c r="K247" s="25">
        <v>472.05336837628562</v>
      </c>
      <c r="L247" s="19">
        <v>0.71531271934509277</v>
      </c>
      <c r="M247" s="23">
        <v>475.1871310540925</v>
      </c>
      <c r="N247" s="19">
        <v>0.63868379592895508</v>
      </c>
      <c r="O247" s="23">
        <v>450.20171030937979</v>
      </c>
      <c r="P247" s="26">
        <v>0.63649272918701172</v>
      </c>
    </row>
    <row r="248" spans="1:16" x14ac:dyDescent="0.3">
      <c r="A248" s="30" t="s">
        <v>249</v>
      </c>
      <c r="B248" s="3">
        <v>725</v>
      </c>
      <c r="C248" s="2">
        <v>554</v>
      </c>
      <c r="D248" s="19">
        <v>1.0870485305786131</v>
      </c>
      <c r="E248" s="2">
        <v>506</v>
      </c>
      <c r="F248" s="19">
        <v>0.80506682395935059</v>
      </c>
      <c r="G248" s="2">
        <v>576</v>
      </c>
      <c r="H248" s="19">
        <v>0.70663738250732422</v>
      </c>
      <c r="I248" s="14">
        <f t="shared" si="3"/>
        <v>20.551724137931036</v>
      </c>
      <c r="J248" s="31"/>
      <c r="K248" s="25">
        <v>456.01684713742509</v>
      </c>
      <c r="L248" s="19">
        <v>0.67818570137023926</v>
      </c>
      <c r="M248" s="23">
        <v>591.78310320711068</v>
      </c>
      <c r="N248" s="19">
        <v>0.76069998741149902</v>
      </c>
      <c r="O248" s="23">
        <v>426.41613249414149</v>
      </c>
      <c r="P248" s="26">
        <v>0.62011289596557617</v>
      </c>
    </row>
    <row r="249" spans="1:16" x14ac:dyDescent="0.3">
      <c r="A249" s="30" t="s">
        <v>250</v>
      </c>
      <c r="B249" s="3">
        <v>725</v>
      </c>
      <c r="C249" s="2">
        <v>463</v>
      </c>
      <c r="D249" s="19">
        <v>1.026707649230957</v>
      </c>
      <c r="E249" s="2">
        <v>507</v>
      </c>
      <c r="F249" s="19">
        <v>0.80815410614013672</v>
      </c>
      <c r="G249" s="2">
        <v>609</v>
      </c>
      <c r="H249" s="19">
        <v>0.75262236595153809</v>
      </c>
      <c r="I249" s="14">
        <f t="shared" si="3"/>
        <v>16</v>
      </c>
      <c r="J249" s="31"/>
      <c r="K249" s="25">
        <v>413.70739993330238</v>
      </c>
      <c r="L249" s="19">
        <v>0.68330907821655273</v>
      </c>
      <c r="M249" s="23">
        <v>413.62581290421122</v>
      </c>
      <c r="N249" s="19">
        <v>0.6462714672088623</v>
      </c>
      <c r="O249" s="23">
        <v>444.29853950855198</v>
      </c>
      <c r="P249" s="26">
        <v>0.67810440063476563</v>
      </c>
    </row>
    <row r="250" spans="1:16" x14ac:dyDescent="0.3">
      <c r="A250" s="30" t="s">
        <v>251</v>
      </c>
      <c r="B250" s="3">
        <v>782</v>
      </c>
      <c r="C250" s="2">
        <v>600</v>
      </c>
      <c r="D250" s="19">
        <v>1.6429145336151121</v>
      </c>
      <c r="E250" s="2">
        <v>647</v>
      </c>
      <c r="F250" s="19">
        <v>0.85295486450195313</v>
      </c>
      <c r="G250" s="2">
        <v>660</v>
      </c>
      <c r="H250" s="19">
        <v>0.72321319580078125</v>
      </c>
      <c r="I250" s="14">
        <f t="shared" si="3"/>
        <v>15.601023017902813</v>
      </c>
      <c r="J250" s="31"/>
      <c r="K250" s="25">
        <v>534.27388653194259</v>
      </c>
      <c r="L250" s="19">
        <v>0.66193675994873047</v>
      </c>
      <c r="M250" s="23">
        <v>567.12515628806671</v>
      </c>
      <c r="N250" s="19">
        <v>0.65946626663208008</v>
      </c>
      <c r="O250" s="23">
        <v>540.07313010877704</v>
      </c>
      <c r="P250" s="26">
        <v>0.64997768402099609</v>
      </c>
    </row>
    <row r="251" spans="1:16" x14ac:dyDescent="0.3">
      <c r="A251" s="30" t="s">
        <v>252</v>
      </c>
      <c r="B251" s="3">
        <v>782</v>
      </c>
      <c r="C251" s="2">
        <v>557</v>
      </c>
      <c r="D251" s="19">
        <v>0.95054888725280762</v>
      </c>
      <c r="E251" s="2">
        <v>608</v>
      </c>
      <c r="F251" s="19">
        <v>0.83401250839233398</v>
      </c>
      <c r="G251" s="2">
        <v>635</v>
      </c>
      <c r="H251" s="19">
        <v>0.74883413314819336</v>
      </c>
      <c r="I251" s="14">
        <f t="shared" si="3"/>
        <v>18.797953964194374</v>
      </c>
      <c r="J251" s="31"/>
      <c r="K251" s="25">
        <v>472.68825755106087</v>
      </c>
      <c r="L251" s="19">
        <v>0.67519283294677734</v>
      </c>
      <c r="M251" s="23">
        <v>520.64636080102662</v>
      </c>
      <c r="N251" s="19">
        <v>0.68019890785217285</v>
      </c>
      <c r="O251" s="23">
        <v>518.33466065102789</v>
      </c>
      <c r="P251" s="26">
        <v>0.66978168487548828</v>
      </c>
    </row>
    <row r="252" spans="1:16" x14ac:dyDescent="0.3">
      <c r="A252" s="30" t="s">
        <v>253</v>
      </c>
      <c r="B252" s="3">
        <v>782</v>
      </c>
      <c r="C252" s="2">
        <v>540</v>
      </c>
      <c r="D252" s="19">
        <v>0.86845898628234863</v>
      </c>
      <c r="E252" s="2">
        <v>621</v>
      </c>
      <c r="F252" s="19">
        <v>0.81150293350219727</v>
      </c>
      <c r="G252" s="2">
        <v>635</v>
      </c>
      <c r="H252" s="19">
        <v>0.77457284927368164</v>
      </c>
      <c r="I252" s="14">
        <f t="shared" si="3"/>
        <v>18.797953964194374</v>
      </c>
      <c r="J252" s="31"/>
      <c r="K252" s="25">
        <v>525.87293472729891</v>
      </c>
      <c r="L252" s="19">
        <v>0.70026898384094238</v>
      </c>
      <c r="M252" s="23">
        <v>489.07933570660509</v>
      </c>
      <c r="N252" s="19">
        <v>0.6791832447052002</v>
      </c>
      <c r="O252" s="23">
        <v>581.60889066360528</v>
      </c>
      <c r="P252" s="26">
        <v>0.73906183242797852</v>
      </c>
    </row>
    <row r="253" spans="1:16" x14ac:dyDescent="0.3">
      <c r="A253" s="30" t="s">
        <v>254</v>
      </c>
      <c r="B253" s="3">
        <v>782</v>
      </c>
      <c r="C253" s="2">
        <v>565</v>
      </c>
      <c r="D253" s="19">
        <v>0.9177401065826416</v>
      </c>
      <c r="E253" s="2">
        <v>641</v>
      </c>
      <c r="F253" s="19">
        <v>0.89225530624389648</v>
      </c>
      <c r="G253" s="2">
        <v>654</v>
      </c>
      <c r="H253" s="19">
        <v>0.73720431327819824</v>
      </c>
      <c r="I253" s="14">
        <f t="shared" si="3"/>
        <v>16.368286445012789</v>
      </c>
      <c r="J253" s="31"/>
      <c r="K253" s="25">
        <v>538.59790635894717</v>
      </c>
      <c r="L253" s="19">
        <v>0.69439482688903809</v>
      </c>
      <c r="M253" s="23">
        <v>574.87789499222174</v>
      </c>
      <c r="N253" s="19">
        <v>0.68848371505737305</v>
      </c>
      <c r="O253" s="23">
        <v>576.98235484322538</v>
      </c>
      <c r="P253" s="26">
        <v>0.71512579917907715</v>
      </c>
    </row>
    <row r="254" spans="1:16" x14ac:dyDescent="0.3">
      <c r="A254" s="30" t="s">
        <v>255</v>
      </c>
      <c r="B254" s="3">
        <v>782</v>
      </c>
      <c r="C254" s="2">
        <v>589</v>
      </c>
      <c r="D254" s="19">
        <v>0.83149337768554688</v>
      </c>
      <c r="E254" s="2">
        <v>649</v>
      </c>
      <c r="F254" s="19">
        <v>0.95514178276062012</v>
      </c>
      <c r="G254" s="2">
        <v>653</v>
      </c>
      <c r="H254" s="19">
        <v>0.81454348564147949</v>
      </c>
      <c r="I254" s="14">
        <f t="shared" si="3"/>
        <v>16.496163682864452</v>
      </c>
      <c r="J254" s="31"/>
      <c r="K254" s="25">
        <v>485.07038366281051</v>
      </c>
      <c r="L254" s="19">
        <v>0.68716144561767578</v>
      </c>
      <c r="M254" s="23">
        <v>505.66151181024401</v>
      </c>
      <c r="N254" s="19">
        <v>0.67670512199401855</v>
      </c>
      <c r="O254" s="23">
        <v>575.48793555578891</v>
      </c>
      <c r="P254" s="26">
        <v>0.75604915618896484</v>
      </c>
    </row>
    <row r="255" spans="1:16" x14ac:dyDescent="0.3">
      <c r="A255" s="30" t="s">
        <v>256</v>
      </c>
      <c r="B255" s="3">
        <v>782</v>
      </c>
      <c r="C255" s="2">
        <v>562</v>
      </c>
      <c r="D255" s="19">
        <v>1.291756868362427</v>
      </c>
      <c r="E255" s="2">
        <v>643</v>
      </c>
      <c r="F255" s="19">
        <v>1.0921897888183589</v>
      </c>
      <c r="G255" s="2">
        <v>644</v>
      </c>
      <c r="H255" s="19">
        <v>0.74422168731689453</v>
      </c>
      <c r="I255" s="14">
        <f t="shared" si="3"/>
        <v>17.647058823529413</v>
      </c>
      <c r="J255" s="31"/>
      <c r="K255" s="25">
        <v>491.98548565096922</v>
      </c>
      <c r="L255" s="19">
        <v>0.7113037109375</v>
      </c>
      <c r="M255" s="23">
        <v>582.49477672709384</v>
      </c>
      <c r="N255" s="19">
        <v>0.72406339645385742</v>
      </c>
      <c r="O255" s="23">
        <v>539.49495904882099</v>
      </c>
      <c r="P255" s="26">
        <v>0.76965546607971191</v>
      </c>
    </row>
    <row r="256" spans="1:16" x14ac:dyDescent="0.3">
      <c r="A256" s="30" t="s">
        <v>257</v>
      </c>
      <c r="B256" s="3">
        <v>782</v>
      </c>
      <c r="C256" s="2">
        <v>584</v>
      </c>
      <c r="D256" s="19">
        <v>1.3497529029846189</v>
      </c>
      <c r="E256" s="2">
        <v>639</v>
      </c>
      <c r="F256" s="19">
        <v>1.108006477355957</v>
      </c>
      <c r="G256" s="2">
        <v>658</v>
      </c>
      <c r="H256" s="19">
        <v>0.8501427173614502</v>
      </c>
      <c r="I256" s="14">
        <f t="shared" si="3"/>
        <v>15.856777493606138</v>
      </c>
      <c r="J256" s="31"/>
      <c r="K256" s="25">
        <v>503.60954133888771</v>
      </c>
      <c r="L256" s="19">
        <v>0.69400238990783691</v>
      </c>
      <c r="M256" s="23">
        <v>569.81052956515589</v>
      </c>
      <c r="N256" s="19">
        <v>0.72529911994934082</v>
      </c>
      <c r="O256" s="23">
        <v>538.66478603974929</v>
      </c>
      <c r="P256" s="26">
        <v>0.80702304840087891</v>
      </c>
    </row>
    <row r="257" spans="1:16" x14ac:dyDescent="0.3">
      <c r="A257" s="30" t="s">
        <v>258</v>
      </c>
      <c r="B257" s="3">
        <v>782</v>
      </c>
      <c r="C257" s="2">
        <v>582</v>
      </c>
      <c r="D257" s="19">
        <v>1.3999302387237551</v>
      </c>
      <c r="E257" s="2">
        <v>637</v>
      </c>
      <c r="F257" s="19">
        <v>1.0225670337677</v>
      </c>
      <c r="G257" s="2">
        <v>612</v>
      </c>
      <c r="H257" s="19">
        <v>0.80160737037658691</v>
      </c>
      <c r="I257" s="14">
        <f t="shared" si="3"/>
        <v>18.542199488491047</v>
      </c>
      <c r="J257" s="31"/>
      <c r="K257" s="25">
        <v>452.11165035035242</v>
      </c>
      <c r="L257" s="19">
        <v>0.7026674747467041</v>
      </c>
      <c r="M257" s="23">
        <v>532.38760624084068</v>
      </c>
      <c r="N257" s="19">
        <v>0.72785377502441406</v>
      </c>
      <c r="O257" s="23">
        <v>489.93343105700228</v>
      </c>
      <c r="P257" s="26">
        <v>0.82159805297851563</v>
      </c>
    </row>
    <row r="258" spans="1:16" x14ac:dyDescent="0.3">
      <c r="A258" s="30" t="s">
        <v>259</v>
      </c>
      <c r="B258" s="3">
        <v>782</v>
      </c>
      <c r="C258" s="2">
        <v>656</v>
      </c>
      <c r="D258" s="19">
        <v>1.5474517345428469</v>
      </c>
      <c r="E258" s="2">
        <v>664</v>
      </c>
      <c r="F258" s="19">
        <v>1.356793165206909</v>
      </c>
      <c r="G258" s="2">
        <v>670</v>
      </c>
      <c r="H258" s="19">
        <v>0.86422467231750488</v>
      </c>
      <c r="I258" s="14">
        <f t="shared" si="3"/>
        <v>14.322250639386189</v>
      </c>
      <c r="J258" s="31"/>
      <c r="K258" s="25">
        <v>532.55807691685914</v>
      </c>
      <c r="L258" s="19">
        <v>0.78393721580505371</v>
      </c>
      <c r="M258" s="23">
        <v>593.6016637340872</v>
      </c>
      <c r="N258" s="19">
        <v>0.7958524227142334</v>
      </c>
      <c r="O258" s="23">
        <v>556.38657643975057</v>
      </c>
      <c r="P258" s="26">
        <v>0.8034968376159668</v>
      </c>
    </row>
    <row r="259" spans="1:16" x14ac:dyDescent="0.3">
      <c r="A259" s="30" t="s">
        <v>260</v>
      </c>
      <c r="B259" s="3">
        <v>782</v>
      </c>
      <c r="C259" s="2">
        <v>512</v>
      </c>
      <c r="D259" s="19">
        <v>0.90829300880432129</v>
      </c>
      <c r="E259" s="2">
        <v>603</v>
      </c>
      <c r="F259" s="19">
        <v>1.017647504806519</v>
      </c>
      <c r="G259" s="2">
        <v>659</v>
      </c>
      <c r="H259" s="19">
        <v>0.81348371505737305</v>
      </c>
      <c r="I259" s="14">
        <f t="shared" si="3"/>
        <v>15.728900255754475</v>
      </c>
      <c r="J259" s="31"/>
      <c r="K259" s="25">
        <v>503.33375378974199</v>
      </c>
      <c r="L259" s="19">
        <v>0.81716513633728027</v>
      </c>
      <c r="M259" s="23">
        <v>516.69905729114953</v>
      </c>
      <c r="N259" s="19">
        <v>0.75749349594116211</v>
      </c>
      <c r="O259" s="23">
        <v>482.88082819753942</v>
      </c>
      <c r="P259" s="26">
        <v>0.79640841484069824</v>
      </c>
    </row>
    <row r="260" spans="1:16" x14ac:dyDescent="0.3">
      <c r="A260" s="30" t="s">
        <v>261</v>
      </c>
      <c r="B260" s="3">
        <v>835</v>
      </c>
      <c r="C260" s="2">
        <v>696</v>
      </c>
      <c r="D260" s="19">
        <v>0.81881809234619141</v>
      </c>
      <c r="E260" s="2">
        <v>671</v>
      </c>
      <c r="F260" s="19">
        <v>0.97521162033081055</v>
      </c>
      <c r="G260" s="2">
        <v>730</v>
      </c>
      <c r="H260" s="19">
        <v>0.75947237014770508</v>
      </c>
      <c r="I260" s="14">
        <f t="shared" ref="I260:I323" si="4">((B260-MAX(C260,E260,G260))/B260)*100</f>
        <v>12.574850299401197</v>
      </c>
      <c r="J260" s="31"/>
      <c r="K260" s="25">
        <v>615.21257243786806</v>
      </c>
      <c r="L260" s="19">
        <v>0.76306462287902832</v>
      </c>
      <c r="M260" s="23">
        <v>664.22478912034671</v>
      </c>
      <c r="N260" s="19">
        <v>0.73300027847290039</v>
      </c>
      <c r="O260" s="23">
        <v>625.19084970816027</v>
      </c>
      <c r="P260" s="26">
        <v>0.88131546974182129</v>
      </c>
    </row>
    <row r="261" spans="1:16" x14ac:dyDescent="0.3">
      <c r="A261" s="30" t="s">
        <v>262</v>
      </c>
      <c r="B261" s="3">
        <v>835</v>
      </c>
      <c r="C261" s="2">
        <v>705</v>
      </c>
      <c r="D261" s="19">
        <v>0.93782711029052734</v>
      </c>
      <c r="E261" s="2">
        <v>722</v>
      </c>
      <c r="F261" s="19">
        <v>1.667714595794678</v>
      </c>
      <c r="G261" s="2">
        <v>720</v>
      </c>
      <c r="H261" s="19">
        <v>0.8238835334777832</v>
      </c>
      <c r="I261" s="14">
        <f t="shared" si="4"/>
        <v>13.532934131736527</v>
      </c>
      <c r="J261" s="31"/>
      <c r="K261" s="25">
        <v>648.65897538510819</v>
      </c>
      <c r="L261" s="19">
        <v>0.80365252494812012</v>
      </c>
      <c r="M261" s="23">
        <v>650.92454861875353</v>
      </c>
      <c r="N261" s="19">
        <v>0.73025798797607422</v>
      </c>
      <c r="O261" s="23">
        <v>643.23558442281148</v>
      </c>
      <c r="P261" s="26">
        <v>0.79362678527832031</v>
      </c>
    </row>
    <row r="262" spans="1:16" x14ac:dyDescent="0.3">
      <c r="A262" s="30" t="s">
        <v>263</v>
      </c>
      <c r="B262" s="3">
        <v>835</v>
      </c>
      <c r="C262" s="2">
        <v>665</v>
      </c>
      <c r="D262" s="19">
        <v>0.82807064056396484</v>
      </c>
      <c r="E262" s="2">
        <v>689</v>
      </c>
      <c r="F262" s="19">
        <v>1.470511913299561</v>
      </c>
      <c r="G262" s="2">
        <v>666</v>
      </c>
      <c r="H262" s="19">
        <v>0.75768828392028809</v>
      </c>
      <c r="I262" s="14">
        <f t="shared" si="4"/>
        <v>17.485029940119762</v>
      </c>
      <c r="J262" s="31"/>
      <c r="K262" s="25">
        <v>557.83818512567461</v>
      </c>
      <c r="L262" s="19">
        <v>0.77753925323486328</v>
      </c>
      <c r="M262" s="23">
        <v>627.15403616285323</v>
      </c>
      <c r="N262" s="19">
        <v>0.73623800277709961</v>
      </c>
      <c r="O262" s="23">
        <v>582.47385531157636</v>
      </c>
      <c r="P262" s="26">
        <v>0.72828388214111328</v>
      </c>
    </row>
    <row r="263" spans="1:16" x14ac:dyDescent="0.3">
      <c r="A263" s="30" t="s">
        <v>264</v>
      </c>
      <c r="B263" s="3">
        <v>835</v>
      </c>
      <c r="C263" s="2">
        <v>688</v>
      </c>
      <c r="D263" s="19">
        <v>0.91988205909729004</v>
      </c>
      <c r="E263" s="2">
        <v>723</v>
      </c>
      <c r="F263" s="19">
        <v>1.554261445999146</v>
      </c>
      <c r="G263" s="2">
        <v>686</v>
      </c>
      <c r="H263" s="19">
        <v>0.77748346328735352</v>
      </c>
      <c r="I263" s="14">
        <f t="shared" si="4"/>
        <v>13.41317365269461</v>
      </c>
      <c r="J263" s="31"/>
      <c r="K263" s="25">
        <v>594.79206632093462</v>
      </c>
      <c r="L263" s="19">
        <v>0.79894185066223145</v>
      </c>
      <c r="M263" s="23">
        <v>645.55251061455795</v>
      </c>
      <c r="N263" s="19">
        <v>0.70511317253112793</v>
      </c>
      <c r="O263" s="23">
        <v>639.13796870152862</v>
      </c>
      <c r="P263" s="26">
        <v>0.89553308486938477</v>
      </c>
    </row>
    <row r="264" spans="1:16" x14ac:dyDescent="0.3">
      <c r="A264" s="30" t="s">
        <v>265</v>
      </c>
      <c r="B264" s="3">
        <v>835</v>
      </c>
      <c r="C264" s="2">
        <v>682</v>
      </c>
      <c r="D264" s="19">
        <v>0.99400138854980469</v>
      </c>
      <c r="E264" s="2">
        <v>731</v>
      </c>
      <c r="F264" s="19">
        <v>1.4873509407043459</v>
      </c>
      <c r="G264" s="2">
        <v>735</v>
      </c>
      <c r="H264" s="19">
        <v>0.81410121917724609</v>
      </c>
      <c r="I264" s="14">
        <f t="shared" si="4"/>
        <v>11.976047904191617</v>
      </c>
      <c r="J264" s="31"/>
      <c r="K264" s="25">
        <v>625.80302843747336</v>
      </c>
      <c r="L264" s="19">
        <v>0.7449803352355957</v>
      </c>
      <c r="M264" s="23">
        <v>629.46902237602092</v>
      </c>
      <c r="N264" s="19">
        <v>0.72653460502624512</v>
      </c>
      <c r="O264" s="23">
        <v>615.44716971631658</v>
      </c>
      <c r="P264" s="26">
        <v>0.7898862361907959</v>
      </c>
    </row>
    <row r="265" spans="1:16" x14ac:dyDescent="0.3">
      <c r="A265" s="30" t="s">
        <v>266</v>
      </c>
      <c r="B265" s="3">
        <v>835</v>
      </c>
      <c r="C265" s="2">
        <v>674</v>
      </c>
      <c r="D265" s="19">
        <v>0.9200894832611084</v>
      </c>
      <c r="E265" s="2">
        <v>700</v>
      </c>
      <c r="F265" s="19">
        <v>1.448169946670532</v>
      </c>
      <c r="G265" s="2">
        <v>713</v>
      </c>
      <c r="H265" s="19">
        <v>0.86499881744384766</v>
      </c>
      <c r="I265" s="14">
        <f t="shared" si="4"/>
        <v>14.610778443113773</v>
      </c>
      <c r="J265" s="31"/>
      <c r="K265" s="25">
        <v>590.36966970679782</v>
      </c>
      <c r="L265" s="19">
        <v>0.72580885887145996</v>
      </c>
      <c r="M265" s="23">
        <v>598.49459108916392</v>
      </c>
      <c r="N265" s="19">
        <v>0.73379015922546387</v>
      </c>
      <c r="O265" s="23">
        <v>599.04691587354921</v>
      </c>
      <c r="P265" s="26">
        <v>0.76859450340270996</v>
      </c>
    </row>
    <row r="266" spans="1:16" x14ac:dyDescent="0.3">
      <c r="A266" s="30" t="s">
        <v>267</v>
      </c>
      <c r="B266" s="3">
        <v>835</v>
      </c>
      <c r="C266" s="2">
        <v>692</v>
      </c>
      <c r="D266" s="19">
        <v>0.96431803703308105</v>
      </c>
      <c r="E266" s="2">
        <v>745</v>
      </c>
      <c r="F266" s="19">
        <v>1.2126228809356689</v>
      </c>
      <c r="G266" s="2">
        <v>722</v>
      </c>
      <c r="H266" s="19">
        <v>0.90492892265319824</v>
      </c>
      <c r="I266" s="14">
        <f t="shared" si="4"/>
        <v>10.778443113772456</v>
      </c>
      <c r="J266" s="31"/>
      <c r="K266" s="25">
        <v>644.45476608469971</v>
      </c>
      <c r="L266" s="19">
        <v>0.78808212280273438</v>
      </c>
      <c r="M266" s="23">
        <v>655.69021339507958</v>
      </c>
      <c r="N266" s="19">
        <v>0.83080601692199707</v>
      </c>
      <c r="O266" s="23">
        <v>579.75814573260413</v>
      </c>
      <c r="P266" s="26">
        <v>0.82079839706420898</v>
      </c>
    </row>
    <row r="267" spans="1:16" x14ac:dyDescent="0.3">
      <c r="A267" s="30" t="s">
        <v>268</v>
      </c>
      <c r="B267" s="3">
        <v>835</v>
      </c>
      <c r="C267" s="2">
        <v>689</v>
      </c>
      <c r="D267" s="19">
        <v>0.97774434089660645</v>
      </c>
      <c r="E267" s="2">
        <v>761</v>
      </c>
      <c r="F267" s="19">
        <v>1.0252575874328611</v>
      </c>
      <c r="G267" s="2">
        <v>734</v>
      </c>
      <c r="H267" s="19">
        <v>0.91831064224243164</v>
      </c>
      <c r="I267" s="14">
        <f t="shared" si="4"/>
        <v>8.8622754491017961</v>
      </c>
      <c r="J267" s="31"/>
      <c r="K267" s="25">
        <v>601.89817603885183</v>
      </c>
      <c r="L267" s="19">
        <v>0.80312418937683105</v>
      </c>
      <c r="M267" s="23">
        <v>627.64875663198404</v>
      </c>
      <c r="N267" s="19">
        <v>0.7539832592010498</v>
      </c>
      <c r="O267" s="23">
        <v>635.27496025536323</v>
      </c>
      <c r="P267" s="26">
        <v>0.75821638107299805</v>
      </c>
    </row>
    <row r="268" spans="1:16" x14ac:dyDescent="0.3">
      <c r="A268" s="30" t="s">
        <v>269</v>
      </c>
      <c r="B268" s="3">
        <v>835</v>
      </c>
      <c r="C268" s="2">
        <v>720</v>
      </c>
      <c r="D268" s="19">
        <v>1.077890872955322</v>
      </c>
      <c r="E268" s="2">
        <v>719</v>
      </c>
      <c r="F268" s="19">
        <v>1.084332942962646</v>
      </c>
      <c r="G268" s="2">
        <v>702</v>
      </c>
      <c r="H268" s="19">
        <v>0.87166953086853027</v>
      </c>
      <c r="I268" s="14">
        <f t="shared" si="4"/>
        <v>13.77245508982036</v>
      </c>
      <c r="J268" s="31"/>
      <c r="K268" s="25">
        <v>555.47373017699044</v>
      </c>
      <c r="L268" s="19">
        <v>0.84212923049926758</v>
      </c>
      <c r="M268" s="23">
        <v>595.58639539217143</v>
      </c>
      <c r="N268" s="19">
        <v>0.79601764678955078</v>
      </c>
      <c r="O268" s="23">
        <v>595.58593734501119</v>
      </c>
      <c r="P268" s="26">
        <v>0.78517484664916992</v>
      </c>
    </row>
    <row r="269" spans="1:16" x14ac:dyDescent="0.3">
      <c r="A269" s="30" t="s">
        <v>270</v>
      </c>
      <c r="B269" s="3">
        <v>835</v>
      </c>
      <c r="C269" s="2">
        <v>553</v>
      </c>
      <c r="D269" s="19">
        <v>1.2188882827758789</v>
      </c>
      <c r="E269" s="2">
        <v>690</v>
      </c>
      <c r="F269" s="19">
        <v>1.0066831111907959</v>
      </c>
      <c r="G269" s="2">
        <v>735</v>
      </c>
      <c r="H269" s="19">
        <v>0.91357088088989258</v>
      </c>
      <c r="I269" s="14">
        <f t="shared" si="4"/>
        <v>11.976047904191617</v>
      </c>
      <c r="J269" s="31"/>
      <c r="K269" s="25">
        <v>537.79467597754501</v>
      </c>
      <c r="L269" s="19">
        <v>0.88212847709655762</v>
      </c>
      <c r="M269" s="23">
        <v>559.78714110309443</v>
      </c>
      <c r="N269" s="19">
        <v>0.79501485824584961</v>
      </c>
      <c r="O269" s="23">
        <v>534.32154261824769</v>
      </c>
      <c r="P269" s="26">
        <v>0.80192375183105469</v>
      </c>
    </row>
    <row r="270" spans="1:16" x14ac:dyDescent="0.3">
      <c r="A270" s="30" t="s">
        <v>271</v>
      </c>
      <c r="B270" s="3">
        <v>894</v>
      </c>
      <c r="C270" s="2">
        <v>722</v>
      </c>
      <c r="D270" s="19">
        <v>1.0318083763122561</v>
      </c>
      <c r="E270" s="2">
        <v>779</v>
      </c>
      <c r="F270" s="19">
        <v>1.281005859375</v>
      </c>
      <c r="G270" s="2">
        <v>793</v>
      </c>
      <c r="H270" s="19">
        <v>0.86112856864929199</v>
      </c>
      <c r="I270" s="14">
        <f t="shared" si="4"/>
        <v>11.297539149888143</v>
      </c>
      <c r="J270" s="31"/>
      <c r="K270" s="25">
        <v>639.99995331149648</v>
      </c>
      <c r="L270" s="19">
        <v>0.76841354370117188</v>
      </c>
      <c r="M270" s="23">
        <v>704.07547610057213</v>
      </c>
      <c r="N270" s="19">
        <v>0.81952548027038574</v>
      </c>
      <c r="O270" s="23">
        <v>607.3000934191914</v>
      </c>
      <c r="P270" s="26">
        <v>0.7526392936706543</v>
      </c>
    </row>
    <row r="271" spans="1:16" x14ac:dyDescent="0.3">
      <c r="A271" s="30" t="s">
        <v>272</v>
      </c>
      <c r="B271" s="3">
        <v>894</v>
      </c>
      <c r="C271" s="2">
        <v>732</v>
      </c>
      <c r="D271" s="19">
        <v>1.0310976505279541</v>
      </c>
      <c r="E271" s="2">
        <v>758</v>
      </c>
      <c r="F271" s="19">
        <v>0.95243024826049805</v>
      </c>
      <c r="G271" s="2">
        <v>755</v>
      </c>
      <c r="H271" s="19">
        <v>0.79886317253112793</v>
      </c>
      <c r="I271" s="14">
        <f t="shared" si="4"/>
        <v>15.212527964205815</v>
      </c>
      <c r="J271" s="31"/>
      <c r="K271" s="25">
        <v>637.44136681550219</v>
      </c>
      <c r="L271" s="19">
        <v>0.7774357795715332</v>
      </c>
      <c r="M271" s="23">
        <v>689.26570407145823</v>
      </c>
      <c r="N271" s="19">
        <v>0.79059123992919922</v>
      </c>
      <c r="O271" s="23">
        <v>653.05065406704648</v>
      </c>
      <c r="P271" s="26">
        <v>0.73233819007873535</v>
      </c>
    </row>
    <row r="272" spans="1:16" x14ac:dyDescent="0.3">
      <c r="A272" s="30" t="s">
        <v>273</v>
      </c>
      <c r="B272" s="3">
        <v>894</v>
      </c>
      <c r="C272" s="2">
        <v>742</v>
      </c>
      <c r="D272" s="19">
        <v>0.98728132247924805</v>
      </c>
      <c r="E272" s="2">
        <v>719</v>
      </c>
      <c r="F272" s="19">
        <v>0.94547057151794434</v>
      </c>
      <c r="G272" s="2">
        <v>741</v>
      </c>
      <c r="H272" s="19">
        <v>0.83406805992126465</v>
      </c>
      <c r="I272" s="14">
        <f t="shared" si="4"/>
        <v>17.002237136465325</v>
      </c>
      <c r="J272" s="31"/>
      <c r="K272" s="25">
        <v>649.83333892530823</v>
      </c>
      <c r="L272" s="19">
        <v>0.75380063056945801</v>
      </c>
      <c r="M272" s="23">
        <v>653.84219424919434</v>
      </c>
      <c r="N272" s="19">
        <v>0.79487419128417969</v>
      </c>
      <c r="O272" s="23">
        <v>630.16220127868962</v>
      </c>
      <c r="P272" s="26">
        <v>0.89550209045410156</v>
      </c>
    </row>
    <row r="273" spans="1:16" x14ac:dyDescent="0.3">
      <c r="A273" s="30" t="s">
        <v>274</v>
      </c>
      <c r="B273" s="3">
        <v>894</v>
      </c>
      <c r="C273" s="2">
        <v>744</v>
      </c>
      <c r="D273" s="19">
        <v>1.051467180252075</v>
      </c>
      <c r="E273" s="2">
        <v>760</v>
      </c>
      <c r="F273" s="19">
        <v>1.0158979892730711</v>
      </c>
      <c r="G273" s="2">
        <v>772</v>
      </c>
      <c r="H273" s="19">
        <v>0.85674071311950684</v>
      </c>
      <c r="I273" s="14">
        <f t="shared" si="4"/>
        <v>13.646532438478747</v>
      </c>
      <c r="J273" s="31"/>
      <c r="K273" s="25">
        <v>649.1147042526319</v>
      </c>
      <c r="L273" s="19">
        <v>0.77612209320068359</v>
      </c>
      <c r="M273" s="23">
        <v>666.0079977303709</v>
      </c>
      <c r="N273" s="19">
        <v>0.76305651664733887</v>
      </c>
      <c r="O273" s="23">
        <v>655.8862121781134</v>
      </c>
      <c r="P273" s="26">
        <v>0.88733553886413574</v>
      </c>
    </row>
    <row r="274" spans="1:16" x14ac:dyDescent="0.3">
      <c r="A274" s="30" t="s">
        <v>275</v>
      </c>
      <c r="B274" s="3">
        <v>894</v>
      </c>
      <c r="C274" s="2">
        <v>751</v>
      </c>
      <c r="D274" s="19">
        <v>1.001430749893188</v>
      </c>
      <c r="E274" s="2">
        <v>754</v>
      </c>
      <c r="F274" s="19">
        <v>0.9153740406036377</v>
      </c>
      <c r="G274" s="2">
        <v>736</v>
      </c>
      <c r="H274" s="19">
        <v>0.8713226318359375</v>
      </c>
      <c r="I274" s="14">
        <f t="shared" si="4"/>
        <v>15.659955257270694</v>
      </c>
      <c r="J274" s="31"/>
      <c r="K274" s="25">
        <v>645.2666877073757</v>
      </c>
      <c r="L274" s="19">
        <v>0.7719724178314209</v>
      </c>
      <c r="M274" s="23">
        <v>705.08309532458748</v>
      </c>
      <c r="N274" s="19">
        <v>0.78606820106506348</v>
      </c>
      <c r="O274" s="23">
        <v>660.84489233520651</v>
      </c>
      <c r="P274" s="26">
        <v>0.82180118560791016</v>
      </c>
    </row>
    <row r="275" spans="1:16" x14ac:dyDescent="0.3">
      <c r="A275" s="30" t="s">
        <v>276</v>
      </c>
      <c r="B275" s="3">
        <v>894</v>
      </c>
      <c r="C275" s="2">
        <v>733</v>
      </c>
      <c r="D275" s="19">
        <v>1.160151481628418</v>
      </c>
      <c r="E275" s="2">
        <v>726</v>
      </c>
      <c r="F275" s="19">
        <v>0.96462678909301758</v>
      </c>
      <c r="G275" s="2">
        <v>771</v>
      </c>
      <c r="H275" s="19">
        <v>0.85582351684570313</v>
      </c>
      <c r="I275" s="14">
        <f t="shared" si="4"/>
        <v>13.758389261744966</v>
      </c>
      <c r="J275" s="31"/>
      <c r="K275" s="25">
        <v>625.87122247198567</v>
      </c>
      <c r="L275" s="19">
        <v>0.81003761291503906</v>
      </c>
      <c r="M275" s="23">
        <v>688.64100747797215</v>
      </c>
      <c r="N275" s="19">
        <v>0.83160018920898438</v>
      </c>
      <c r="O275" s="23">
        <v>655.98813524619436</v>
      </c>
      <c r="P275" s="26">
        <v>0.8473820686340332</v>
      </c>
    </row>
    <row r="276" spans="1:16" x14ac:dyDescent="0.3">
      <c r="A276" s="30" t="s">
        <v>277</v>
      </c>
      <c r="B276" s="3">
        <v>894</v>
      </c>
      <c r="C276" s="2">
        <v>740</v>
      </c>
      <c r="D276" s="19">
        <v>1.20344066619873</v>
      </c>
      <c r="E276" s="2">
        <v>767</v>
      </c>
      <c r="F276" s="19">
        <v>1.5151171684265139</v>
      </c>
      <c r="G276" s="2">
        <v>754</v>
      </c>
      <c r="H276" s="19">
        <v>0.92396378517150879</v>
      </c>
      <c r="I276" s="14">
        <f t="shared" si="4"/>
        <v>14.205816554809845</v>
      </c>
      <c r="J276" s="31"/>
      <c r="K276" s="25">
        <v>630.71714441603967</v>
      </c>
      <c r="L276" s="19">
        <v>0.83088922500610352</v>
      </c>
      <c r="M276" s="23">
        <v>698.19027836007785</v>
      </c>
      <c r="N276" s="19">
        <v>0.84385323524475098</v>
      </c>
      <c r="O276" s="23">
        <v>660.88798789518648</v>
      </c>
      <c r="P276" s="26">
        <v>0.90691304206848145</v>
      </c>
    </row>
    <row r="277" spans="1:16" x14ac:dyDescent="0.3">
      <c r="A277" s="30" t="s">
        <v>278</v>
      </c>
      <c r="B277" s="3">
        <v>894</v>
      </c>
      <c r="C277" s="2">
        <v>727</v>
      </c>
      <c r="D277" s="19">
        <v>1.1448016166687009</v>
      </c>
      <c r="E277" s="2">
        <v>753</v>
      </c>
      <c r="F277" s="19">
        <v>1.521481513977051</v>
      </c>
      <c r="G277" s="2">
        <v>747</v>
      </c>
      <c r="H277" s="19">
        <v>0.93469667434692383</v>
      </c>
      <c r="I277" s="14">
        <f t="shared" si="4"/>
        <v>15.771812080536913</v>
      </c>
      <c r="J277" s="31"/>
      <c r="K277" s="25">
        <v>665.31272091029712</v>
      </c>
      <c r="L277" s="19">
        <v>0.9210355281829834</v>
      </c>
      <c r="M277" s="23">
        <v>647.04585546300018</v>
      </c>
      <c r="N277" s="19">
        <v>0.8400568962097168</v>
      </c>
      <c r="O277" s="23">
        <v>657.92213217500614</v>
      </c>
      <c r="P277" s="26">
        <v>0.88940668106079102</v>
      </c>
    </row>
    <row r="278" spans="1:16" x14ac:dyDescent="0.3">
      <c r="A278" s="30" t="s">
        <v>279</v>
      </c>
      <c r="B278" s="3">
        <v>894</v>
      </c>
      <c r="C278" s="2">
        <v>732</v>
      </c>
      <c r="D278" s="19">
        <v>1.368125438690186</v>
      </c>
      <c r="E278" s="2">
        <v>737</v>
      </c>
      <c r="F278" s="19">
        <v>1.101341724395752</v>
      </c>
      <c r="G278" s="2">
        <v>741</v>
      </c>
      <c r="H278" s="19">
        <v>0.91760468482971191</v>
      </c>
      <c r="I278" s="14">
        <f t="shared" si="4"/>
        <v>17.114093959731544</v>
      </c>
      <c r="J278" s="31"/>
      <c r="K278" s="25">
        <v>634.49243297814087</v>
      </c>
      <c r="L278" s="19">
        <v>0.90731334686279297</v>
      </c>
      <c r="M278" s="23">
        <v>652.7394805791655</v>
      </c>
      <c r="N278" s="19">
        <v>0.88218545913696289</v>
      </c>
      <c r="O278" s="23">
        <v>631.7980633771399</v>
      </c>
      <c r="P278" s="26">
        <v>0.84390139579772949</v>
      </c>
    </row>
    <row r="279" spans="1:16" x14ac:dyDescent="0.3">
      <c r="A279" s="30" t="s">
        <v>280</v>
      </c>
      <c r="B279" s="3">
        <v>894</v>
      </c>
      <c r="C279" s="2">
        <v>712</v>
      </c>
      <c r="D279" s="19">
        <v>1.153595447540283</v>
      </c>
      <c r="E279" s="2">
        <v>708</v>
      </c>
      <c r="F279" s="19">
        <v>1.273951530456543</v>
      </c>
      <c r="G279" s="2">
        <v>768</v>
      </c>
      <c r="H279" s="19">
        <v>0.97423958778381348</v>
      </c>
      <c r="I279" s="14">
        <f t="shared" si="4"/>
        <v>14.093959731543624</v>
      </c>
      <c r="J279" s="31"/>
      <c r="K279" s="25">
        <v>622.18453672624184</v>
      </c>
      <c r="L279" s="19">
        <v>0.88599252700805664</v>
      </c>
      <c r="M279" s="23">
        <v>651.94689957395894</v>
      </c>
      <c r="N279" s="19">
        <v>0.8625791072845459</v>
      </c>
      <c r="O279" s="23">
        <v>661.64235468398351</v>
      </c>
      <c r="P279" s="26">
        <v>0.8612205982208252</v>
      </c>
    </row>
    <row r="280" spans="1:16" x14ac:dyDescent="0.3">
      <c r="A280" s="30" t="s">
        <v>281</v>
      </c>
      <c r="B280" s="3">
        <v>956</v>
      </c>
      <c r="C280" s="2">
        <v>796</v>
      </c>
      <c r="D280" s="19">
        <v>1.2320296764373779</v>
      </c>
      <c r="E280" s="2">
        <v>803</v>
      </c>
      <c r="F280" s="19">
        <v>1.0804071426391599</v>
      </c>
      <c r="G280" s="2">
        <v>841</v>
      </c>
      <c r="H280" s="19">
        <v>0.92848372459411621</v>
      </c>
      <c r="I280" s="14">
        <f t="shared" si="4"/>
        <v>12.02928870292887</v>
      </c>
      <c r="J280" s="31"/>
      <c r="K280" s="25">
        <v>722.87983165459787</v>
      </c>
      <c r="L280" s="19">
        <v>0.85024833679199219</v>
      </c>
      <c r="M280" s="23">
        <v>732.6350525071025</v>
      </c>
      <c r="N280" s="19">
        <v>0.91029572486877441</v>
      </c>
      <c r="O280" s="23">
        <v>739.0219469712265</v>
      </c>
      <c r="P280" s="26">
        <v>0.77555942535400391</v>
      </c>
    </row>
    <row r="281" spans="1:16" x14ac:dyDescent="0.3">
      <c r="A281" s="30" t="s">
        <v>282</v>
      </c>
      <c r="B281" s="3">
        <v>956</v>
      </c>
      <c r="C281" s="2">
        <v>760</v>
      </c>
      <c r="D281" s="19">
        <v>1.376184940338135</v>
      </c>
      <c r="E281" s="2">
        <v>824</v>
      </c>
      <c r="F281" s="19">
        <v>0.96717548370361328</v>
      </c>
      <c r="G281" s="2">
        <v>767</v>
      </c>
      <c r="H281" s="19">
        <v>0.89764976501464844</v>
      </c>
      <c r="I281" s="14">
        <f t="shared" si="4"/>
        <v>13.807531380753138</v>
      </c>
      <c r="J281" s="31"/>
      <c r="K281" s="25">
        <v>690.06177381268549</v>
      </c>
      <c r="L281" s="19">
        <v>0.80099225044250488</v>
      </c>
      <c r="M281" s="23">
        <v>736.11852921742968</v>
      </c>
      <c r="N281" s="19">
        <v>0.83584475517272949</v>
      </c>
      <c r="O281" s="23">
        <v>683.05002772660441</v>
      </c>
      <c r="P281" s="26">
        <v>0.76347756385803223</v>
      </c>
    </row>
    <row r="282" spans="1:16" x14ac:dyDescent="0.3">
      <c r="A282" s="30" t="s">
        <v>283</v>
      </c>
      <c r="B282" s="3">
        <v>956</v>
      </c>
      <c r="C282" s="2">
        <v>742</v>
      </c>
      <c r="D282" s="19">
        <v>1.8215949535369871</v>
      </c>
      <c r="E282" s="2">
        <v>793</v>
      </c>
      <c r="F282" s="19">
        <v>1.1519420146942141</v>
      </c>
      <c r="G282" s="2">
        <v>794</v>
      </c>
      <c r="H282" s="19">
        <v>0.87968993186950684</v>
      </c>
      <c r="I282" s="14">
        <f t="shared" si="4"/>
        <v>16.94560669456067</v>
      </c>
      <c r="J282" s="31"/>
      <c r="K282" s="25">
        <v>672.07643351659397</v>
      </c>
      <c r="L282" s="19">
        <v>0.81369876861572266</v>
      </c>
      <c r="M282" s="23">
        <v>698.43710303324758</v>
      </c>
      <c r="N282" s="19">
        <v>0.80339455604553223</v>
      </c>
      <c r="O282" s="23">
        <v>701.48503632419363</v>
      </c>
      <c r="P282" s="26">
        <v>0.90418648719787598</v>
      </c>
    </row>
    <row r="283" spans="1:16" x14ac:dyDescent="0.3">
      <c r="A283" s="30" t="s">
        <v>284</v>
      </c>
      <c r="B283" s="3">
        <v>956</v>
      </c>
      <c r="C283" s="2">
        <v>824</v>
      </c>
      <c r="D283" s="19">
        <v>1.816065311431885</v>
      </c>
      <c r="E283" s="2">
        <v>812</v>
      </c>
      <c r="F283" s="19">
        <v>1.055794954299927</v>
      </c>
      <c r="G283" s="2">
        <v>832</v>
      </c>
      <c r="H283" s="19">
        <v>0.88722896575927734</v>
      </c>
      <c r="I283" s="14">
        <f t="shared" si="4"/>
        <v>12.97071129707113</v>
      </c>
      <c r="J283" s="31"/>
      <c r="K283" s="25">
        <v>730.88526618990772</v>
      </c>
      <c r="L283" s="19">
        <v>0.94322967529296875</v>
      </c>
      <c r="M283" s="23">
        <v>746.00954572417845</v>
      </c>
      <c r="N283" s="19">
        <v>0.83512520790100098</v>
      </c>
      <c r="O283" s="23">
        <v>732.33151227168207</v>
      </c>
      <c r="P283" s="26">
        <v>0.80449509620666504</v>
      </c>
    </row>
    <row r="284" spans="1:16" x14ac:dyDescent="0.3">
      <c r="A284" s="30" t="s">
        <v>285</v>
      </c>
      <c r="B284" s="3">
        <v>956</v>
      </c>
      <c r="C284" s="2">
        <v>765</v>
      </c>
      <c r="D284" s="19">
        <v>1.594948291778564</v>
      </c>
      <c r="E284" s="2">
        <v>795</v>
      </c>
      <c r="F284" s="19">
        <v>1.076238632202148</v>
      </c>
      <c r="G284" s="2">
        <v>786</v>
      </c>
      <c r="H284" s="19">
        <v>0.89138197898864746</v>
      </c>
      <c r="I284" s="14">
        <f t="shared" si="4"/>
        <v>16.84100418410042</v>
      </c>
      <c r="J284" s="31"/>
      <c r="K284" s="25">
        <v>679.60709867524463</v>
      </c>
      <c r="L284" s="19">
        <v>0.95377612113952637</v>
      </c>
      <c r="M284" s="23">
        <v>724.77233080833878</v>
      </c>
      <c r="N284" s="19">
        <v>0.8171234130859375</v>
      </c>
      <c r="O284" s="23">
        <v>696.75671955717962</v>
      </c>
      <c r="P284" s="26">
        <v>0.78340625762939453</v>
      </c>
    </row>
    <row r="285" spans="1:16" x14ac:dyDescent="0.3">
      <c r="A285" s="30" t="s">
        <v>286</v>
      </c>
      <c r="B285" s="3">
        <v>956</v>
      </c>
      <c r="C285" s="2">
        <v>744</v>
      </c>
      <c r="D285" s="19">
        <v>1.274429559707642</v>
      </c>
      <c r="E285" s="2">
        <v>795</v>
      </c>
      <c r="F285" s="19">
        <v>1.1595110893249509</v>
      </c>
      <c r="G285" s="2">
        <v>778</v>
      </c>
      <c r="H285" s="19">
        <v>0.90322208404541016</v>
      </c>
      <c r="I285" s="14">
        <f t="shared" si="4"/>
        <v>16.84100418410042</v>
      </c>
      <c r="J285" s="31"/>
      <c r="K285" s="25">
        <v>647.49022987142712</v>
      </c>
      <c r="L285" s="19">
        <v>0.92551827430725098</v>
      </c>
      <c r="M285" s="23">
        <v>694.39103406766981</v>
      </c>
      <c r="N285" s="19">
        <v>0.83059883117675781</v>
      </c>
      <c r="O285" s="23">
        <v>646.54649401892311</v>
      </c>
      <c r="P285" s="26">
        <v>0.8077237606048584</v>
      </c>
    </row>
    <row r="286" spans="1:16" x14ac:dyDescent="0.3">
      <c r="A286" s="30" t="s">
        <v>287</v>
      </c>
      <c r="B286" s="3">
        <v>956</v>
      </c>
      <c r="C286" s="2">
        <v>825</v>
      </c>
      <c r="D286" s="19">
        <v>1.1736528873443599</v>
      </c>
      <c r="E286" s="2">
        <v>836</v>
      </c>
      <c r="F286" s="19">
        <v>2.16553807258606</v>
      </c>
      <c r="G286" s="2">
        <v>836</v>
      </c>
      <c r="H286" s="19">
        <v>0.95510363578796387</v>
      </c>
      <c r="I286" s="14">
        <f t="shared" si="4"/>
        <v>12.552301255230125</v>
      </c>
      <c r="J286" s="31"/>
      <c r="K286" s="25">
        <v>730.70390609214496</v>
      </c>
      <c r="L286" s="19">
        <v>1.059090852737427</v>
      </c>
      <c r="M286" s="23">
        <v>714.73746275259475</v>
      </c>
      <c r="N286" s="19">
        <v>0.89496588706970215</v>
      </c>
      <c r="O286" s="23">
        <v>728.4277409444602</v>
      </c>
      <c r="P286" s="26">
        <v>0.84780669212341309</v>
      </c>
    </row>
    <row r="287" spans="1:16" x14ac:dyDescent="0.3">
      <c r="A287" s="30" t="s">
        <v>288</v>
      </c>
      <c r="B287" s="3">
        <v>956</v>
      </c>
      <c r="C287" s="2">
        <v>780</v>
      </c>
      <c r="D287" s="19">
        <v>1.268563508987427</v>
      </c>
      <c r="E287" s="2">
        <v>791</v>
      </c>
      <c r="F287" s="19">
        <v>1.989106416702271</v>
      </c>
      <c r="G287" s="2">
        <v>794</v>
      </c>
      <c r="H287" s="19">
        <v>0.98598384857177734</v>
      </c>
      <c r="I287" s="14">
        <f t="shared" si="4"/>
        <v>16.94560669456067</v>
      </c>
      <c r="J287" s="31"/>
      <c r="K287" s="25">
        <v>680.22857567379833</v>
      </c>
      <c r="L287" s="19">
        <v>1.005812883377075</v>
      </c>
      <c r="M287" s="23">
        <v>719.53516425245334</v>
      </c>
      <c r="N287" s="19">
        <v>0.93021011352539063</v>
      </c>
      <c r="O287" s="23">
        <v>699.65511797385682</v>
      </c>
      <c r="P287" s="26">
        <v>0.87098097801208496</v>
      </c>
    </row>
    <row r="288" spans="1:16" x14ac:dyDescent="0.3">
      <c r="A288" s="30" t="s">
        <v>289</v>
      </c>
      <c r="B288" s="3">
        <v>956</v>
      </c>
      <c r="C288" s="2">
        <v>786</v>
      </c>
      <c r="D288" s="19">
        <v>1.250429153442383</v>
      </c>
      <c r="E288" s="2">
        <v>816</v>
      </c>
      <c r="F288" s="19">
        <v>1.4669206142425539</v>
      </c>
      <c r="G288" s="2">
        <v>798</v>
      </c>
      <c r="H288" s="19">
        <v>1.053619861602783</v>
      </c>
      <c r="I288" s="14">
        <f t="shared" si="4"/>
        <v>14.644351464435147</v>
      </c>
      <c r="J288" s="31"/>
      <c r="K288" s="25">
        <v>704.81791851333719</v>
      </c>
      <c r="L288" s="19">
        <v>1.002200603485107</v>
      </c>
      <c r="M288" s="23">
        <v>694.75323826525937</v>
      </c>
      <c r="N288" s="19">
        <v>0.88722634315490723</v>
      </c>
      <c r="O288" s="23">
        <v>699.70551167894143</v>
      </c>
      <c r="P288" s="26">
        <v>0.86370587348937988</v>
      </c>
    </row>
    <row r="289" spans="1:16" x14ac:dyDescent="0.3">
      <c r="A289" s="30" t="s">
        <v>290</v>
      </c>
      <c r="B289" s="3">
        <v>956</v>
      </c>
      <c r="C289" s="2">
        <v>754</v>
      </c>
      <c r="D289" s="19">
        <v>1.3258664608001709</v>
      </c>
      <c r="E289" s="2">
        <v>779</v>
      </c>
      <c r="F289" s="19">
        <v>1.207522392272949</v>
      </c>
      <c r="G289" s="2">
        <v>798</v>
      </c>
      <c r="H289" s="19">
        <v>0.97867465019226074</v>
      </c>
      <c r="I289" s="14">
        <f t="shared" si="4"/>
        <v>16.527196652719663</v>
      </c>
      <c r="J289" s="31"/>
      <c r="K289" s="25">
        <v>713.41570326750605</v>
      </c>
      <c r="L289" s="19">
        <v>1.016959667205811</v>
      </c>
      <c r="M289" s="23">
        <v>717.32482648663506</v>
      </c>
      <c r="N289" s="19">
        <v>0.89670491218566895</v>
      </c>
      <c r="O289" s="23">
        <v>678.95243266617217</v>
      </c>
      <c r="P289" s="26">
        <v>0.89628458023071289</v>
      </c>
    </row>
    <row r="290" spans="1:16" x14ac:dyDescent="0.3">
      <c r="A290" s="30" t="s">
        <v>291</v>
      </c>
      <c r="B290" s="3">
        <v>1013</v>
      </c>
      <c r="C290" s="2">
        <v>856</v>
      </c>
      <c r="D290" s="19">
        <v>1.0221099853515621</v>
      </c>
      <c r="E290" s="2">
        <v>867</v>
      </c>
      <c r="F290" s="19">
        <v>1.027613639831543</v>
      </c>
      <c r="G290" s="2">
        <v>864</v>
      </c>
      <c r="H290" s="19">
        <v>1.032203674316406</v>
      </c>
      <c r="I290" s="14">
        <f t="shared" si="4"/>
        <v>14.412635735439288</v>
      </c>
      <c r="J290" s="31"/>
      <c r="K290" s="25">
        <v>760.63135823593564</v>
      </c>
      <c r="L290" s="19">
        <v>1.1056926250457759</v>
      </c>
      <c r="M290" s="23">
        <v>780.84250098993368</v>
      </c>
      <c r="N290" s="19">
        <v>0.87553524971008301</v>
      </c>
      <c r="O290" s="23">
        <v>776.80501937663553</v>
      </c>
      <c r="P290" s="26">
        <v>0.86672854423522949</v>
      </c>
    </row>
    <row r="291" spans="1:16" x14ac:dyDescent="0.3">
      <c r="A291" s="30" t="s">
        <v>292</v>
      </c>
      <c r="B291" s="3">
        <v>1013</v>
      </c>
      <c r="C291" s="2">
        <v>854</v>
      </c>
      <c r="D291" s="19">
        <v>1.089632034301758</v>
      </c>
      <c r="E291" s="2">
        <v>864</v>
      </c>
      <c r="F291" s="19">
        <v>1.1125321388244629</v>
      </c>
      <c r="G291" s="2">
        <v>847</v>
      </c>
      <c r="H291" s="19">
        <v>1.0882623195648189</v>
      </c>
      <c r="I291" s="14">
        <f t="shared" si="4"/>
        <v>14.708785784797632</v>
      </c>
      <c r="J291" s="31"/>
      <c r="K291" s="25">
        <v>745.34510937025993</v>
      </c>
      <c r="L291" s="19">
        <v>1.0318329334259031</v>
      </c>
      <c r="M291" s="23">
        <v>761.83090141486275</v>
      </c>
      <c r="N291" s="19">
        <v>0.89719152450561523</v>
      </c>
      <c r="O291" s="23">
        <v>738.15930867949976</v>
      </c>
      <c r="P291" s="26">
        <v>0.81244564056396484</v>
      </c>
    </row>
    <row r="292" spans="1:16" x14ac:dyDescent="0.3">
      <c r="A292" s="30" t="s">
        <v>293</v>
      </c>
      <c r="B292" s="3">
        <v>1013</v>
      </c>
      <c r="C292" s="2">
        <v>801</v>
      </c>
      <c r="D292" s="19">
        <v>1.0842216014862061</v>
      </c>
      <c r="E292" s="2">
        <v>842</v>
      </c>
      <c r="F292" s="19">
        <v>1.0350215435028081</v>
      </c>
      <c r="G292" s="2">
        <v>854</v>
      </c>
      <c r="H292" s="19">
        <v>0.97996616363525391</v>
      </c>
      <c r="I292" s="14">
        <f t="shared" si="4"/>
        <v>15.695952615992104</v>
      </c>
      <c r="J292" s="31"/>
      <c r="K292" s="25">
        <v>700.8689750851546</v>
      </c>
      <c r="L292" s="19">
        <v>0.99219751358032227</v>
      </c>
      <c r="M292" s="23">
        <v>776.34321851526977</v>
      </c>
      <c r="N292" s="19">
        <v>0.87730646133422852</v>
      </c>
      <c r="O292" s="23">
        <v>725.6499251902577</v>
      </c>
      <c r="P292" s="26">
        <v>0.82955145835876465</v>
      </c>
    </row>
    <row r="293" spans="1:16" x14ac:dyDescent="0.3">
      <c r="A293" s="30" t="s">
        <v>294</v>
      </c>
      <c r="B293" s="3">
        <v>1013</v>
      </c>
      <c r="C293" s="2">
        <v>843</v>
      </c>
      <c r="D293" s="19">
        <v>1.1950826644897461</v>
      </c>
      <c r="E293" s="2">
        <v>857</v>
      </c>
      <c r="F293" s="19">
        <v>1.090585470199585</v>
      </c>
      <c r="G293" s="2">
        <v>844</v>
      </c>
      <c r="H293" s="19">
        <v>1.012474060058594</v>
      </c>
      <c r="I293" s="14">
        <f t="shared" si="4"/>
        <v>15.399802566633761</v>
      </c>
      <c r="J293" s="31"/>
      <c r="K293" s="25">
        <v>746.6857385186338</v>
      </c>
      <c r="L293" s="19">
        <v>0.94569253921508789</v>
      </c>
      <c r="M293" s="23">
        <v>760.34902697512928</v>
      </c>
      <c r="N293" s="19">
        <v>0.86472082138061523</v>
      </c>
      <c r="O293" s="23">
        <v>753.07389418110301</v>
      </c>
      <c r="P293" s="26">
        <v>0.84527945518493652</v>
      </c>
    </row>
    <row r="294" spans="1:16" x14ac:dyDescent="0.3">
      <c r="A294" s="30" t="s">
        <v>295</v>
      </c>
      <c r="B294" s="3">
        <v>1013</v>
      </c>
      <c r="C294" s="2">
        <v>792</v>
      </c>
      <c r="D294" s="19">
        <v>1.103058338165283</v>
      </c>
      <c r="E294" s="2">
        <v>839</v>
      </c>
      <c r="F294" s="19">
        <v>1.124830961227417</v>
      </c>
      <c r="G294" s="2">
        <v>873</v>
      </c>
      <c r="H294" s="19">
        <v>0.99469208717346191</v>
      </c>
      <c r="I294" s="14">
        <f t="shared" si="4"/>
        <v>13.820335636722605</v>
      </c>
      <c r="J294" s="31"/>
      <c r="K294" s="25">
        <v>723.34449114143115</v>
      </c>
      <c r="L294" s="19">
        <v>0.90245246887207031</v>
      </c>
      <c r="M294" s="23">
        <v>756.00241296200056</v>
      </c>
      <c r="N294" s="19">
        <v>0.84645748138427734</v>
      </c>
      <c r="O294" s="23">
        <v>737.96341324878006</v>
      </c>
      <c r="P294" s="26">
        <v>0.82395386695861816</v>
      </c>
    </row>
    <row r="295" spans="1:16" x14ac:dyDescent="0.3">
      <c r="A295" s="30" t="s">
        <v>296</v>
      </c>
      <c r="B295" s="3">
        <v>1013</v>
      </c>
      <c r="C295" s="2">
        <v>818</v>
      </c>
      <c r="D295" s="19">
        <v>1.098188638687134</v>
      </c>
      <c r="E295" s="2">
        <v>852</v>
      </c>
      <c r="F295" s="19">
        <v>1.287698030471802</v>
      </c>
      <c r="G295" s="2">
        <v>845</v>
      </c>
      <c r="H295" s="19">
        <v>1.4715044498443599</v>
      </c>
      <c r="I295" s="14">
        <f t="shared" si="4"/>
        <v>15.893385982230997</v>
      </c>
      <c r="J295" s="31"/>
      <c r="K295" s="25">
        <v>704.32710529462008</v>
      </c>
      <c r="L295" s="19">
        <v>0.87911820411682129</v>
      </c>
      <c r="M295" s="23">
        <v>743.46694328247179</v>
      </c>
      <c r="N295" s="19">
        <v>0.91752839088439941</v>
      </c>
      <c r="O295" s="23">
        <v>711.62254423375089</v>
      </c>
      <c r="P295" s="26">
        <v>0.83725690841674805</v>
      </c>
    </row>
    <row r="296" spans="1:16" x14ac:dyDescent="0.3">
      <c r="A296" s="30" t="s">
        <v>297</v>
      </c>
      <c r="B296" s="3">
        <v>1013</v>
      </c>
      <c r="C296" s="2">
        <v>835</v>
      </c>
      <c r="D296" s="19">
        <v>1.1277339458465581</v>
      </c>
      <c r="E296" s="2">
        <v>900</v>
      </c>
      <c r="F296" s="19">
        <v>1.300981760025024</v>
      </c>
      <c r="G296" s="2">
        <v>873</v>
      </c>
      <c r="H296" s="19">
        <v>1.750560998916626</v>
      </c>
      <c r="I296" s="14">
        <f t="shared" si="4"/>
        <v>11.154985192497533</v>
      </c>
      <c r="J296" s="31"/>
      <c r="K296" s="25">
        <v>753.75350695243947</v>
      </c>
      <c r="L296" s="19">
        <v>1.0116314888000491</v>
      </c>
      <c r="M296" s="23">
        <v>786.84824558218565</v>
      </c>
      <c r="N296" s="19">
        <v>0.96212482452392578</v>
      </c>
      <c r="O296" s="23">
        <v>771.59106003444481</v>
      </c>
      <c r="P296" s="26">
        <v>0.89684438705444336</v>
      </c>
    </row>
    <row r="297" spans="1:16" x14ac:dyDescent="0.3">
      <c r="A297" s="30" t="s">
        <v>298</v>
      </c>
      <c r="B297" s="3">
        <v>1013</v>
      </c>
      <c r="C297" s="2">
        <v>847</v>
      </c>
      <c r="D297" s="19">
        <v>1.201775789260864</v>
      </c>
      <c r="E297" s="2">
        <v>865</v>
      </c>
      <c r="F297" s="19">
        <v>1.245205402374268</v>
      </c>
      <c r="G297" s="2">
        <v>832</v>
      </c>
      <c r="H297" s="19">
        <v>1.37785267829895</v>
      </c>
      <c r="I297" s="14">
        <f t="shared" si="4"/>
        <v>14.610069101678183</v>
      </c>
      <c r="J297" s="31"/>
      <c r="K297" s="25">
        <v>752.25151532173413</v>
      </c>
      <c r="L297" s="19">
        <v>1.079175710678101</v>
      </c>
      <c r="M297" s="23">
        <v>776.76812349765191</v>
      </c>
      <c r="N297" s="19">
        <v>0.93282604217529297</v>
      </c>
      <c r="O297" s="23">
        <v>793.03950554894345</v>
      </c>
      <c r="P297" s="26">
        <v>0.90459609031677246</v>
      </c>
    </row>
    <row r="298" spans="1:16" x14ac:dyDescent="0.3">
      <c r="A298" s="30" t="s">
        <v>299</v>
      </c>
      <c r="B298" s="3">
        <v>1013</v>
      </c>
      <c r="C298" s="2">
        <v>804</v>
      </c>
      <c r="D298" s="19">
        <v>1.2357432842254641</v>
      </c>
      <c r="E298" s="2">
        <v>833</v>
      </c>
      <c r="F298" s="19">
        <v>1.3177416324615481</v>
      </c>
      <c r="G298" s="2">
        <v>890</v>
      </c>
      <c r="H298" s="19">
        <v>1.1332025527954099</v>
      </c>
      <c r="I298" s="14">
        <f t="shared" si="4"/>
        <v>12.142152023692004</v>
      </c>
      <c r="J298" s="31"/>
      <c r="K298" s="25">
        <v>683.43562885565564</v>
      </c>
      <c r="L298" s="19">
        <v>1.077679395675659</v>
      </c>
      <c r="M298" s="23">
        <v>748.47005916730325</v>
      </c>
      <c r="N298" s="19">
        <v>0.95656871795654297</v>
      </c>
      <c r="O298" s="23">
        <v>742.32353906839421</v>
      </c>
      <c r="P298" s="26">
        <v>0.90171718597412109</v>
      </c>
    </row>
    <row r="299" spans="1:16" x14ac:dyDescent="0.3">
      <c r="A299" s="30" t="s">
        <v>300</v>
      </c>
      <c r="B299" s="3">
        <v>1013</v>
      </c>
      <c r="C299" s="2">
        <v>792</v>
      </c>
      <c r="D299" s="19">
        <v>1.322954416275024</v>
      </c>
      <c r="E299" s="2">
        <v>844</v>
      </c>
      <c r="F299" s="19">
        <v>1.2487490177154541</v>
      </c>
      <c r="G299" s="2">
        <v>855</v>
      </c>
      <c r="H299" s="19">
        <v>1.070074319839478</v>
      </c>
      <c r="I299" s="14">
        <f t="shared" si="4"/>
        <v>15.597235932872655</v>
      </c>
      <c r="J299" s="31"/>
      <c r="K299" s="25">
        <v>712.90012336540974</v>
      </c>
      <c r="L299" s="19">
        <v>1.1106636524200439</v>
      </c>
      <c r="M299" s="23">
        <v>726.60827830354765</v>
      </c>
      <c r="N299" s="19">
        <v>0.92136096954345703</v>
      </c>
      <c r="O299" s="23">
        <v>726.3737201520189</v>
      </c>
      <c r="P299" s="26">
        <v>0.90860152244567871</v>
      </c>
    </row>
    <row r="300" spans="1:16" x14ac:dyDescent="0.3">
      <c r="A300" s="30" t="s">
        <v>301</v>
      </c>
      <c r="B300" s="3">
        <v>1013</v>
      </c>
      <c r="C300" s="2">
        <v>782</v>
      </c>
      <c r="D300" s="19">
        <v>1.25732421875</v>
      </c>
      <c r="E300" s="2">
        <v>865</v>
      </c>
      <c r="F300" s="19">
        <v>1.23473048210144</v>
      </c>
      <c r="G300" s="2">
        <v>801</v>
      </c>
      <c r="H300" s="19">
        <v>1.324221134185791</v>
      </c>
      <c r="I300" s="14">
        <f t="shared" si="4"/>
        <v>14.610069101678183</v>
      </c>
      <c r="J300" s="31"/>
      <c r="K300" s="25">
        <v>670.8267003787945</v>
      </c>
      <c r="L300" s="19">
        <v>1.087713241577148</v>
      </c>
      <c r="M300" s="23">
        <v>692.19674381789901</v>
      </c>
      <c r="N300" s="19">
        <v>0.97693467140197754</v>
      </c>
      <c r="O300" s="23">
        <v>705.72562550564999</v>
      </c>
      <c r="P300" s="26">
        <v>0.95835208892822266</v>
      </c>
    </row>
    <row r="301" spans="1:16" x14ac:dyDescent="0.3">
      <c r="A301" s="30" t="s">
        <v>302</v>
      </c>
      <c r="B301" s="3">
        <v>1057</v>
      </c>
      <c r="C301" s="2">
        <v>909</v>
      </c>
      <c r="D301" s="19">
        <v>1.1210675239562991</v>
      </c>
      <c r="E301" s="2">
        <v>915</v>
      </c>
      <c r="F301" s="19">
        <v>1.258914709091187</v>
      </c>
      <c r="G301" s="2">
        <v>957</v>
      </c>
      <c r="H301" s="19">
        <v>1.1790978908538821</v>
      </c>
      <c r="I301" s="14">
        <f t="shared" si="4"/>
        <v>9.4607379375591307</v>
      </c>
      <c r="J301" s="31"/>
      <c r="K301" s="25">
        <v>821.4240049457444</v>
      </c>
      <c r="L301" s="19">
        <v>0.96513700485229492</v>
      </c>
      <c r="M301" s="23">
        <v>831.54622344668758</v>
      </c>
      <c r="N301" s="19">
        <v>0.9923851490020752</v>
      </c>
      <c r="O301" s="23">
        <v>805.47452669577001</v>
      </c>
      <c r="P301" s="26">
        <v>0.86815214157104492</v>
      </c>
    </row>
    <row r="302" spans="1:16" x14ac:dyDescent="0.3">
      <c r="A302" s="30" t="s">
        <v>303</v>
      </c>
      <c r="B302" s="3">
        <v>1057</v>
      </c>
      <c r="C302" s="2">
        <v>881</v>
      </c>
      <c r="D302" s="19">
        <v>1.149369478225708</v>
      </c>
      <c r="E302" s="2">
        <v>915</v>
      </c>
      <c r="F302" s="19">
        <v>1.1030006408691411</v>
      </c>
      <c r="G302" s="2">
        <v>915</v>
      </c>
      <c r="H302" s="19">
        <v>1.2457671165466311</v>
      </c>
      <c r="I302" s="14">
        <f t="shared" si="4"/>
        <v>13.434247871333966</v>
      </c>
      <c r="J302" s="31"/>
      <c r="K302" s="25">
        <v>763.38011031441647</v>
      </c>
      <c r="L302" s="19">
        <v>0.89644145965576172</v>
      </c>
      <c r="M302" s="23">
        <v>821.1346704949699</v>
      </c>
      <c r="N302" s="19">
        <v>0.98095893859863281</v>
      </c>
      <c r="O302" s="23">
        <v>789.05560882098507</v>
      </c>
      <c r="P302" s="26">
        <v>0.90111923217773438</v>
      </c>
    </row>
    <row r="303" spans="1:16" x14ac:dyDescent="0.3">
      <c r="A303" s="30" t="s">
        <v>304</v>
      </c>
      <c r="B303" s="3">
        <v>1057</v>
      </c>
      <c r="C303" s="2">
        <v>857</v>
      </c>
      <c r="D303" s="19">
        <v>1.149152517318726</v>
      </c>
      <c r="E303" s="2">
        <v>894</v>
      </c>
      <c r="F303" s="19">
        <v>1.1949493885040281</v>
      </c>
      <c r="G303" s="2">
        <v>871</v>
      </c>
      <c r="H303" s="19">
        <v>1.3485889434814451</v>
      </c>
      <c r="I303" s="14">
        <f t="shared" si="4"/>
        <v>15.421002838221382</v>
      </c>
      <c r="J303" s="31"/>
      <c r="K303" s="25">
        <v>782.72847234551466</v>
      </c>
      <c r="L303" s="19">
        <v>0.89192986488342285</v>
      </c>
      <c r="M303" s="23">
        <v>781.17865261317195</v>
      </c>
      <c r="N303" s="19">
        <v>1.0703268051147461</v>
      </c>
      <c r="O303" s="23">
        <v>783.68236313159605</v>
      </c>
      <c r="P303" s="26">
        <v>0.88428759574890137</v>
      </c>
    </row>
    <row r="304" spans="1:16" x14ac:dyDescent="0.3">
      <c r="A304" s="30" t="s">
        <v>305</v>
      </c>
      <c r="B304" s="3">
        <v>1057</v>
      </c>
      <c r="C304" s="2">
        <v>903</v>
      </c>
      <c r="D304" s="19">
        <v>1.1952779293060301</v>
      </c>
      <c r="E304" s="2">
        <v>938</v>
      </c>
      <c r="F304" s="19">
        <v>1.291254997253418</v>
      </c>
      <c r="G304" s="2">
        <v>897</v>
      </c>
      <c r="H304" s="19">
        <v>1.375094890594482</v>
      </c>
      <c r="I304" s="14">
        <f t="shared" si="4"/>
        <v>11.258278145695364</v>
      </c>
      <c r="J304" s="31"/>
      <c r="K304" s="25">
        <v>826.64551821319571</v>
      </c>
      <c r="L304" s="19">
        <v>0.91241693496704102</v>
      </c>
      <c r="M304" s="23">
        <v>828.99858472906078</v>
      </c>
      <c r="N304" s="19">
        <v>0.96518158912658691</v>
      </c>
      <c r="O304" s="23">
        <v>822.70995227193885</v>
      </c>
      <c r="P304" s="26">
        <v>0.89427971839904785</v>
      </c>
    </row>
    <row r="305" spans="1:16" x14ac:dyDescent="0.3">
      <c r="A305" s="30" t="s">
        <v>306</v>
      </c>
      <c r="B305" s="3">
        <v>1057</v>
      </c>
      <c r="C305" s="2">
        <v>885</v>
      </c>
      <c r="D305" s="19">
        <v>1.0854394435882571</v>
      </c>
      <c r="E305" s="2">
        <v>917</v>
      </c>
      <c r="F305" s="19">
        <v>1.1610274314880371</v>
      </c>
      <c r="G305" s="2">
        <v>889</v>
      </c>
      <c r="H305" s="19">
        <v>1.344546318054199</v>
      </c>
      <c r="I305" s="14">
        <f t="shared" si="4"/>
        <v>13.245033112582782</v>
      </c>
      <c r="J305" s="31"/>
      <c r="K305" s="25">
        <v>784.39067197678389</v>
      </c>
      <c r="L305" s="19">
        <v>0.97717928886413574</v>
      </c>
      <c r="M305" s="23">
        <v>844.9072329141685</v>
      </c>
      <c r="N305" s="19">
        <v>0.96405601501464844</v>
      </c>
      <c r="O305" s="23">
        <v>786.54802354666163</v>
      </c>
      <c r="P305" s="26">
        <v>0.89025235176086426</v>
      </c>
    </row>
    <row r="306" spans="1:16" x14ac:dyDescent="0.3">
      <c r="A306" s="30" t="s">
        <v>307</v>
      </c>
      <c r="B306" s="3">
        <v>1057</v>
      </c>
      <c r="C306" s="2">
        <v>853</v>
      </c>
      <c r="D306" s="19">
        <v>1.7127246856689451</v>
      </c>
      <c r="E306" s="2">
        <v>917</v>
      </c>
      <c r="F306" s="19">
        <v>1.203673124313354</v>
      </c>
      <c r="G306" s="2">
        <v>870</v>
      </c>
      <c r="H306" s="19">
        <v>1.601767301559448</v>
      </c>
      <c r="I306" s="14">
        <f t="shared" si="4"/>
        <v>13.245033112582782</v>
      </c>
      <c r="J306" s="31"/>
      <c r="K306" s="25">
        <v>777.48736680833565</v>
      </c>
      <c r="L306" s="19">
        <v>0.93012309074401855</v>
      </c>
      <c r="M306" s="23">
        <v>847.015239046121</v>
      </c>
      <c r="N306" s="19">
        <v>0.99020504951477051</v>
      </c>
      <c r="O306" s="23">
        <v>811.0984626292543</v>
      </c>
      <c r="P306" s="26">
        <v>0.91246509552001953</v>
      </c>
    </row>
    <row r="307" spans="1:16" x14ac:dyDescent="0.3">
      <c r="A307" s="30" t="s">
        <v>308</v>
      </c>
      <c r="B307" s="3">
        <v>1057</v>
      </c>
      <c r="C307" s="2">
        <v>894</v>
      </c>
      <c r="D307" s="19">
        <v>2.016191720962524</v>
      </c>
      <c r="E307" s="2">
        <v>995</v>
      </c>
      <c r="F307" s="19">
        <v>1.374015808105469</v>
      </c>
      <c r="G307" s="2">
        <v>940</v>
      </c>
      <c r="H307" s="19">
        <v>1.500943660736084</v>
      </c>
      <c r="I307" s="14">
        <f t="shared" si="4"/>
        <v>5.8656575212866606</v>
      </c>
      <c r="J307" s="31"/>
      <c r="K307" s="25">
        <v>802.50636635355659</v>
      </c>
      <c r="L307" s="19">
        <v>0.96814155578613281</v>
      </c>
      <c r="M307" s="23">
        <v>841.6531562610669</v>
      </c>
      <c r="N307" s="19">
        <v>1.0697999000549321</v>
      </c>
      <c r="O307" s="23">
        <v>809.89430092516568</v>
      </c>
      <c r="P307" s="26">
        <v>0.96274471282958984</v>
      </c>
    </row>
    <row r="308" spans="1:16" x14ac:dyDescent="0.3">
      <c r="A308" s="30" t="s">
        <v>309</v>
      </c>
      <c r="B308" s="3">
        <v>1057</v>
      </c>
      <c r="C308" s="2">
        <v>885</v>
      </c>
      <c r="D308" s="19">
        <v>2.0332267284393311</v>
      </c>
      <c r="E308" s="2">
        <v>898</v>
      </c>
      <c r="F308" s="19">
        <v>1.7394013404846189</v>
      </c>
      <c r="G308" s="2">
        <v>913</v>
      </c>
      <c r="H308" s="19">
        <v>1.7988536357879641</v>
      </c>
      <c r="I308" s="14">
        <f t="shared" si="4"/>
        <v>13.623462630085148</v>
      </c>
      <c r="J308" s="31"/>
      <c r="K308" s="25">
        <v>800.10620918263703</v>
      </c>
      <c r="L308" s="19">
        <v>1.026594400405884</v>
      </c>
      <c r="M308" s="23">
        <v>792.65752854883306</v>
      </c>
      <c r="N308" s="19">
        <v>1.167937278747559</v>
      </c>
      <c r="O308" s="23">
        <v>813.13968279383664</v>
      </c>
      <c r="P308" s="26">
        <v>0.95465302467346191</v>
      </c>
    </row>
    <row r="309" spans="1:16" x14ac:dyDescent="0.3">
      <c r="A309" s="30" t="s">
        <v>310</v>
      </c>
      <c r="B309" s="3">
        <v>1057</v>
      </c>
      <c r="C309" s="2">
        <v>861</v>
      </c>
      <c r="D309" s="19">
        <v>1.292356014251709</v>
      </c>
      <c r="E309" s="2">
        <v>853</v>
      </c>
      <c r="F309" s="19">
        <v>2.5164000988006592</v>
      </c>
      <c r="G309" s="2">
        <v>917</v>
      </c>
      <c r="H309" s="19">
        <v>1.3594586849212651</v>
      </c>
      <c r="I309" s="14">
        <f t="shared" si="4"/>
        <v>13.245033112582782</v>
      </c>
      <c r="J309" s="31"/>
      <c r="K309" s="25">
        <v>767.6042994797607</v>
      </c>
      <c r="L309" s="19">
        <v>0.98881888389587402</v>
      </c>
      <c r="M309" s="23">
        <v>774.52029156929814</v>
      </c>
      <c r="N309" s="19">
        <v>1.052898168563843</v>
      </c>
      <c r="O309" s="23">
        <v>774.35710756250751</v>
      </c>
      <c r="P309" s="26">
        <v>0.97330212593078613</v>
      </c>
    </row>
    <row r="310" spans="1:16" x14ac:dyDescent="0.3">
      <c r="A310" s="30" t="s">
        <v>311</v>
      </c>
      <c r="B310" s="3">
        <v>1057</v>
      </c>
      <c r="C310" s="2">
        <v>826</v>
      </c>
      <c r="D310" s="19">
        <v>1.291918992996216</v>
      </c>
      <c r="E310" s="2">
        <v>886</v>
      </c>
      <c r="F310" s="19">
        <v>2.4099526405334468</v>
      </c>
      <c r="G310" s="2">
        <v>906</v>
      </c>
      <c r="H310" s="19">
        <v>1.4065089225769041</v>
      </c>
      <c r="I310" s="14">
        <f t="shared" si="4"/>
        <v>14.285714285714285</v>
      </c>
      <c r="J310" s="31"/>
      <c r="K310" s="25">
        <v>739.38807683723815</v>
      </c>
      <c r="L310" s="19">
        <v>1.0300030708312991</v>
      </c>
      <c r="M310" s="23">
        <v>809.34592211226629</v>
      </c>
      <c r="N310" s="19">
        <v>1.136713027954102</v>
      </c>
      <c r="O310" s="23">
        <v>822.0895349202998</v>
      </c>
      <c r="P310" s="26">
        <v>1.2527644634246831</v>
      </c>
    </row>
    <row r="311" spans="1:16" x14ac:dyDescent="0.3">
      <c r="A311" s="30" t="s">
        <v>312</v>
      </c>
      <c r="B311" s="3">
        <v>1057</v>
      </c>
      <c r="C311" s="2">
        <v>866</v>
      </c>
      <c r="D311" s="19">
        <v>1.4589381217956541</v>
      </c>
      <c r="E311" s="2">
        <v>874</v>
      </c>
      <c r="F311" s="19">
        <v>1.538008451461792</v>
      </c>
      <c r="G311" s="2">
        <v>906</v>
      </c>
      <c r="H311" s="19">
        <v>1.3565080165863039</v>
      </c>
      <c r="I311" s="14">
        <f t="shared" si="4"/>
        <v>14.285714285714285</v>
      </c>
      <c r="J311" s="31"/>
      <c r="K311" s="25">
        <v>767.83959436229861</v>
      </c>
      <c r="L311" s="19">
        <v>1.031333446502686</v>
      </c>
      <c r="M311" s="23">
        <v>804.17659601746823</v>
      </c>
      <c r="N311" s="19">
        <v>1.1377556324005129</v>
      </c>
      <c r="O311" s="23">
        <v>778.47768211336881</v>
      </c>
      <c r="P311" s="26">
        <v>1.144268751144409</v>
      </c>
    </row>
    <row r="312" spans="1:16" x14ac:dyDescent="0.3">
      <c r="A312" s="30" t="s">
        <v>313</v>
      </c>
      <c r="B312" s="3">
        <v>1114</v>
      </c>
      <c r="C312" s="2">
        <v>932</v>
      </c>
      <c r="D312" s="19">
        <v>1.184673070907593</v>
      </c>
      <c r="E312" s="2">
        <v>973</v>
      </c>
      <c r="F312" s="19">
        <v>1.379854679107666</v>
      </c>
      <c r="G312" s="2">
        <v>965</v>
      </c>
      <c r="H312" s="19">
        <v>1.2535524368286131</v>
      </c>
      <c r="I312" s="14">
        <f t="shared" si="4"/>
        <v>12.657091561938957</v>
      </c>
      <c r="J312" s="31"/>
      <c r="K312" s="25">
        <v>843.69332749097714</v>
      </c>
      <c r="L312" s="19">
        <v>0.92118334770202637</v>
      </c>
      <c r="M312" s="23">
        <v>871.41772445834022</v>
      </c>
      <c r="N312" s="19">
        <v>0.91848349571228027</v>
      </c>
      <c r="O312" s="23">
        <v>816.85134304900885</v>
      </c>
      <c r="P312" s="26">
        <v>0.92808747291564941</v>
      </c>
    </row>
    <row r="313" spans="1:16" x14ac:dyDescent="0.3">
      <c r="A313" s="30" t="s">
        <v>314</v>
      </c>
      <c r="B313" s="3">
        <v>1114</v>
      </c>
      <c r="C313" s="2">
        <v>943</v>
      </c>
      <c r="D313" s="19">
        <v>1.123233556747437</v>
      </c>
      <c r="E313" s="2">
        <v>969</v>
      </c>
      <c r="F313" s="19">
        <v>1.2468910217285161</v>
      </c>
      <c r="G313" s="2">
        <v>933</v>
      </c>
      <c r="H313" s="19">
        <v>1.2912957668304439</v>
      </c>
      <c r="I313" s="14">
        <f t="shared" si="4"/>
        <v>13.016157989228008</v>
      </c>
      <c r="J313" s="31"/>
      <c r="K313" s="25">
        <v>838.78391747638568</v>
      </c>
      <c r="L313" s="19">
        <v>0.92905664443969727</v>
      </c>
      <c r="M313" s="23">
        <v>909.32702300900417</v>
      </c>
      <c r="N313" s="19">
        <v>0.93383479118347168</v>
      </c>
      <c r="O313" s="23">
        <v>848.32654170036415</v>
      </c>
      <c r="P313" s="26">
        <v>0.8877866268157959</v>
      </c>
    </row>
    <row r="314" spans="1:16" x14ac:dyDescent="0.3">
      <c r="A314" s="30" t="s">
        <v>315</v>
      </c>
      <c r="B314" s="3">
        <v>1114</v>
      </c>
      <c r="C314" s="2">
        <v>927</v>
      </c>
      <c r="D314" s="19">
        <v>1.2117002010345459</v>
      </c>
      <c r="E314" s="2">
        <v>955</v>
      </c>
      <c r="F314" s="19">
        <v>1.334417581558228</v>
      </c>
      <c r="G314" s="2">
        <v>897</v>
      </c>
      <c r="H314" s="19">
        <v>1.2915301322937009</v>
      </c>
      <c r="I314" s="14">
        <f t="shared" si="4"/>
        <v>14.272890484739678</v>
      </c>
      <c r="J314" s="31"/>
      <c r="K314" s="25">
        <v>816.58721517243066</v>
      </c>
      <c r="L314" s="19">
        <v>0.98640918731689453</v>
      </c>
      <c r="M314" s="23">
        <v>822.3555783925558</v>
      </c>
      <c r="N314" s="19">
        <v>0.97812342643737793</v>
      </c>
      <c r="O314" s="23">
        <v>835.8820059888476</v>
      </c>
      <c r="P314" s="26">
        <v>0.91391563415527344</v>
      </c>
    </row>
    <row r="315" spans="1:16" x14ac:dyDescent="0.3">
      <c r="A315" s="30" t="s">
        <v>316</v>
      </c>
      <c r="B315" s="3">
        <v>1114</v>
      </c>
      <c r="C315" s="2">
        <v>955</v>
      </c>
      <c r="D315" s="19">
        <v>1.159550666809082</v>
      </c>
      <c r="E315" s="2">
        <v>988</v>
      </c>
      <c r="F315" s="19">
        <v>1.54957127571106</v>
      </c>
      <c r="G315" s="2">
        <v>961</v>
      </c>
      <c r="H315" s="19">
        <v>1.4139564037323</v>
      </c>
      <c r="I315" s="14">
        <f t="shared" si="4"/>
        <v>11.310592459605028</v>
      </c>
      <c r="J315" s="31"/>
      <c r="K315" s="25">
        <v>839.04622459213908</v>
      </c>
      <c r="L315" s="19">
        <v>1.0406589508056641</v>
      </c>
      <c r="M315" s="23">
        <v>848.64482616815133</v>
      </c>
      <c r="N315" s="19">
        <v>1.01701283454895</v>
      </c>
      <c r="O315" s="23">
        <v>878.19365746916594</v>
      </c>
      <c r="P315" s="26">
        <v>0.92899155616760254</v>
      </c>
    </row>
    <row r="316" spans="1:16" x14ac:dyDescent="0.3">
      <c r="A316" s="30" t="s">
        <v>317</v>
      </c>
      <c r="B316" s="3">
        <v>1114</v>
      </c>
      <c r="C316" s="2">
        <v>944</v>
      </c>
      <c r="D316" s="19">
        <v>1.2170519828796389</v>
      </c>
      <c r="E316" s="2">
        <v>961</v>
      </c>
      <c r="F316" s="19">
        <v>1.4261279106140139</v>
      </c>
      <c r="G316" s="2">
        <v>935</v>
      </c>
      <c r="H316" s="19">
        <v>1.2603569030761721</v>
      </c>
      <c r="I316" s="14">
        <f t="shared" si="4"/>
        <v>13.734290843806104</v>
      </c>
      <c r="J316" s="31"/>
      <c r="K316" s="25">
        <v>873.63913248842198</v>
      </c>
      <c r="L316" s="19">
        <v>1.052757263183594</v>
      </c>
      <c r="M316" s="23">
        <v>866.37211017565926</v>
      </c>
      <c r="N316" s="19">
        <v>1.141593456268311</v>
      </c>
      <c r="O316" s="23">
        <v>816.44827297583561</v>
      </c>
      <c r="P316" s="26">
        <v>0.90019631385803223</v>
      </c>
    </row>
    <row r="317" spans="1:16" x14ac:dyDescent="0.3">
      <c r="A317" s="30" t="s">
        <v>318</v>
      </c>
      <c r="B317" s="3">
        <v>1114</v>
      </c>
      <c r="C317" s="2">
        <v>916</v>
      </c>
      <c r="D317" s="19">
        <v>1.1697723865509031</v>
      </c>
      <c r="E317" s="2">
        <v>928</v>
      </c>
      <c r="F317" s="19">
        <v>1.313315153121948</v>
      </c>
      <c r="G317" s="2">
        <v>947</v>
      </c>
      <c r="H317" s="19">
        <v>1.419488191604614</v>
      </c>
      <c r="I317" s="14">
        <f t="shared" si="4"/>
        <v>14.991023339317774</v>
      </c>
      <c r="J317" s="31"/>
      <c r="K317" s="25">
        <v>805.88331922113673</v>
      </c>
      <c r="L317" s="19">
        <v>1.0498940944671631</v>
      </c>
      <c r="M317" s="23">
        <v>837.86397125568817</v>
      </c>
      <c r="N317" s="19">
        <v>1.0513448715209961</v>
      </c>
      <c r="O317" s="23">
        <v>817.369907784519</v>
      </c>
      <c r="P317" s="26">
        <v>0.93304705619812012</v>
      </c>
    </row>
    <row r="318" spans="1:16" x14ac:dyDescent="0.3">
      <c r="A318" s="30" t="s">
        <v>319</v>
      </c>
      <c r="B318" s="3">
        <v>1114</v>
      </c>
      <c r="C318" s="2">
        <v>925</v>
      </c>
      <c r="D318" s="19">
        <v>1.3288335800170901</v>
      </c>
      <c r="E318" s="2">
        <v>964</v>
      </c>
      <c r="F318" s="19">
        <v>1.371647834777832</v>
      </c>
      <c r="G318" s="2">
        <v>967</v>
      </c>
      <c r="H318" s="19">
        <v>1.3874504566192629</v>
      </c>
      <c r="I318" s="14">
        <f t="shared" si="4"/>
        <v>13.195691202872531</v>
      </c>
      <c r="J318" s="31"/>
      <c r="K318" s="25">
        <v>853.39594709405947</v>
      </c>
      <c r="L318" s="19">
        <v>1.102784395217896</v>
      </c>
      <c r="M318" s="23">
        <v>866.92518459807775</v>
      </c>
      <c r="N318" s="19">
        <v>1.092022657394409</v>
      </c>
      <c r="O318" s="23">
        <v>843.70076806725478</v>
      </c>
      <c r="P318" s="26">
        <v>0.99835872650146484</v>
      </c>
    </row>
    <row r="319" spans="1:16" x14ac:dyDescent="0.3">
      <c r="A319" s="30" t="s">
        <v>320</v>
      </c>
      <c r="B319" s="3">
        <v>1114</v>
      </c>
      <c r="C319" s="2">
        <v>938</v>
      </c>
      <c r="D319" s="19">
        <v>1.40996265411377</v>
      </c>
      <c r="E319" s="2">
        <v>996</v>
      </c>
      <c r="F319" s="19">
        <v>1.290742874145508</v>
      </c>
      <c r="G319" s="2">
        <v>914</v>
      </c>
      <c r="H319" s="19">
        <v>1.238934993743896</v>
      </c>
      <c r="I319" s="14">
        <f t="shared" si="4"/>
        <v>10.59245960502693</v>
      </c>
      <c r="J319" s="31"/>
      <c r="K319" s="25">
        <v>848.90689520618344</v>
      </c>
      <c r="L319" s="19">
        <v>1.125146627426147</v>
      </c>
      <c r="M319" s="23">
        <v>902.50245986677726</v>
      </c>
      <c r="N319" s="19">
        <v>1.1146082878112791</v>
      </c>
      <c r="O319" s="23">
        <v>851.15066414007879</v>
      </c>
      <c r="P319" s="26">
        <v>0.99238133430480957</v>
      </c>
    </row>
    <row r="320" spans="1:16" x14ac:dyDescent="0.3">
      <c r="A320" s="30" t="s">
        <v>321</v>
      </c>
      <c r="B320" s="3">
        <v>1114</v>
      </c>
      <c r="C320" s="2">
        <v>912</v>
      </c>
      <c r="D320" s="19">
        <v>1.320471048355103</v>
      </c>
      <c r="E320" s="2">
        <v>926</v>
      </c>
      <c r="F320" s="19">
        <v>1.3365433216094971</v>
      </c>
      <c r="G320" s="2">
        <v>947</v>
      </c>
      <c r="H320" s="19">
        <v>1.1324806213378911</v>
      </c>
      <c r="I320" s="14">
        <f t="shared" si="4"/>
        <v>14.991023339317774</v>
      </c>
      <c r="J320" s="31"/>
      <c r="K320" s="25">
        <v>832.05912408662755</v>
      </c>
      <c r="L320" s="19">
        <v>1.1892714500427251</v>
      </c>
      <c r="M320" s="23">
        <v>854.81067097102914</v>
      </c>
      <c r="N320" s="19">
        <v>1.022896289825439</v>
      </c>
      <c r="O320" s="23">
        <v>823.86729496656892</v>
      </c>
      <c r="P320" s="26">
        <v>0.99185729026794434</v>
      </c>
    </row>
    <row r="321" spans="1:16" x14ac:dyDescent="0.3">
      <c r="A321" s="30" t="s">
        <v>322</v>
      </c>
      <c r="B321" s="3">
        <v>1114</v>
      </c>
      <c r="C321" s="2">
        <v>926</v>
      </c>
      <c r="D321" s="19">
        <v>1.3017094135284419</v>
      </c>
      <c r="E321" s="2">
        <v>979</v>
      </c>
      <c r="F321" s="19">
        <v>1.420387983322144</v>
      </c>
      <c r="G321" s="2">
        <v>913</v>
      </c>
      <c r="H321" s="19">
        <v>1.2455427646636961</v>
      </c>
      <c r="I321" s="14">
        <f t="shared" si="4"/>
        <v>12.118491921005386</v>
      </c>
      <c r="J321" s="31"/>
      <c r="K321" s="25">
        <v>835.49849798179071</v>
      </c>
      <c r="L321" s="19">
        <v>1.182576179504395</v>
      </c>
      <c r="M321" s="23">
        <v>848.76532945536542</v>
      </c>
      <c r="N321" s="19">
        <v>1.0390305519103999</v>
      </c>
      <c r="O321" s="23">
        <v>853.63389797727405</v>
      </c>
      <c r="P321" s="26">
        <v>1.0294842720031741</v>
      </c>
    </row>
    <row r="322" spans="1:16" x14ac:dyDescent="0.3">
      <c r="A322" s="30" t="s">
        <v>323</v>
      </c>
      <c r="B322" s="3">
        <v>1114</v>
      </c>
      <c r="C322" s="2">
        <v>864</v>
      </c>
      <c r="D322" s="19">
        <v>1.3462593555450439</v>
      </c>
      <c r="E322" s="2">
        <v>897</v>
      </c>
      <c r="F322" s="19">
        <v>1.5799727439880371</v>
      </c>
      <c r="G322" s="2">
        <v>951</v>
      </c>
      <c r="H322" s="19">
        <v>1.3018062114715581</v>
      </c>
      <c r="I322" s="14">
        <f t="shared" si="4"/>
        <v>14.631956912028727</v>
      </c>
      <c r="J322" s="31"/>
      <c r="K322" s="25">
        <v>813.75128910170679</v>
      </c>
      <c r="L322" s="19">
        <v>1.152318000793457</v>
      </c>
      <c r="M322" s="23">
        <v>797.05298863102553</v>
      </c>
      <c r="N322" s="19">
        <v>1.0763354301452639</v>
      </c>
      <c r="O322" s="23">
        <v>802.03998762121773</v>
      </c>
      <c r="P322" s="26">
        <v>1.0554080009460449</v>
      </c>
    </row>
    <row r="323" spans="1:16" x14ac:dyDescent="0.3">
      <c r="A323" s="30" t="s">
        <v>324</v>
      </c>
      <c r="B323" s="3">
        <v>1164</v>
      </c>
      <c r="C323" s="2">
        <v>1003</v>
      </c>
      <c r="D323" s="19">
        <v>1.1931018829345701</v>
      </c>
      <c r="E323" s="2">
        <v>1020</v>
      </c>
      <c r="F323" s="19">
        <v>1.344935417175293</v>
      </c>
      <c r="G323" s="2">
        <v>1010</v>
      </c>
      <c r="H323" s="19">
        <v>1.138253927230835</v>
      </c>
      <c r="I323" s="14">
        <f t="shared" si="4"/>
        <v>12.371134020618557</v>
      </c>
      <c r="J323" s="31"/>
      <c r="K323" s="25">
        <v>885.76327546029074</v>
      </c>
      <c r="L323" s="19">
        <v>0.97331571578979492</v>
      </c>
      <c r="M323" s="23">
        <v>927.39337230563842</v>
      </c>
      <c r="N323" s="19">
        <v>0.9596400260925293</v>
      </c>
      <c r="O323" s="23">
        <v>898.30316063434259</v>
      </c>
      <c r="P323" s="26">
        <v>0.96380352973937988</v>
      </c>
    </row>
    <row r="324" spans="1:16" x14ac:dyDescent="0.3">
      <c r="A324" s="30" t="s">
        <v>325</v>
      </c>
      <c r="B324" s="3">
        <v>1164</v>
      </c>
      <c r="C324" s="2">
        <v>957</v>
      </c>
      <c r="D324" s="19">
        <v>1.327009439468384</v>
      </c>
      <c r="E324" s="2">
        <v>1016</v>
      </c>
      <c r="F324" s="19">
        <v>1.5623512268066411</v>
      </c>
      <c r="G324" s="2">
        <v>982</v>
      </c>
      <c r="H324" s="19">
        <v>1.0845673084259031</v>
      </c>
      <c r="I324" s="14">
        <f t="shared" ref="I324:I387" si="5">((B324-MAX(C324,E324,G324))/B324)*100</f>
        <v>12.714776632302405</v>
      </c>
      <c r="J324" s="31"/>
      <c r="K324" s="25">
        <v>848.07530153267157</v>
      </c>
      <c r="L324" s="19">
        <v>0.96658134460449219</v>
      </c>
      <c r="M324" s="23">
        <v>924.28097062443999</v>
      </c>
      <c r="N324" s="19">
        <v>0.98496842384338379</v>
      </c>
      <c r="O324" s="23">
        <v>870.12299786731762</v>
      </c>
      <c r="P324" s="26">
        <v>0.93010425567626953</v>
      </c>
    </row>
    <row r="325" spans="1:16" x14ac:dyDescent="0.3">
      <c r="A325" s="30" t="s">
        <v>326</v>
      </c>
      <c r="B325" s="3">
        <v>1164</v>
      </c>
      <c r="C325" s="2">
        <v>942</v>
      </c>
      <c r="D325" s="19">
        <v>1.2699816226959231</v>
      </c>
      <c r="E325" s="2">
        <v>1007</v>
      </c>
      <c r="F325" s="19">
        <v>1.351899385452271</v>
      </c>
      <c r="G325" s="2">
        <v>975</v>
      </c>
      <c r="H325" s="19">
        <v>1.1071596145629881</v>
      </c>
      <c r="I325" s="14">
        <f t="shared" si="5"/>
        <v>13.487972508591065</v>
      </c>
      <c r="J325" s="31"/>
      <c r="K325" s="25">
        <v>877.34322994308593</v>
      </c>
      <c r="L325" s="19">
        <v>0.9966890811920166</v>
      </c>
      <c r="M325" s="23">
        <v>879.04942536321562</v>
      </c>
      <c r="N325" s="19">
        <v>0.98360919952392578</v>
      </c>
      <c r="O325" s="23">
        <v>868.97307432448019</v>
      </c>
      <c r="P325" s="26">
        <v>0.95352935791015625</v>
      </c>
    </row>
    <row r="326" spans="1:16" x14ac:dyDescent="0.3">
      <c r="A326" s="30" t="s">
        <v>327</v>
      </c>
      <c r="B326" s="3">
        <v>1164</v>
      </c>
      <c r="C326" s="2">
        <v>1002</v>
      </c>
      <c r="D326" s="19">
        <v>1.3775148391723631</v>
      </c>
      <c r="E326" s="2">
        <v>1020</v>
      </c>
      <c r="F326" s="19">
        <v>1.4183592796325679</v>
      </c>
      <c r="G326" s="2">
        <v>1010</v>
      </c>
      <c r="H326" s="19">
        <v>1.1217689514160161</v>
      </c>
      <c r="I326" s="14">
        <f t="shared" si="5"/>
        <v>12.371134020618557</v>
      </c>
      <c r="J326" s="31"/>
      <c r="K326" s="25">
        <v>869.94275353025046</v>
      </c>
      <c r="L326" s="19">
        <v>1.029181957244873</v>
      </c>
      <c r="M326" s="23">
        <v>933.39671407674075</v>
      </c>
      <c r="N326" s="19">
        <v>0.96953248977661133</v>
      </c>
      <c r="O326" s="23">
        <v>898.85821227720407</v>
      </c>
      <c r="P326" s="26">
        <v>0.97481966018676758</v>
      </c>
    </row>
    <row r="327" spans="1:16" x14ac:dyDescent="0.3">
      <c r="A327" s="30" t="s">
        <v>328</v>
      </c>
      <c r="B327" s="3">
        <v>1164</v>
      </c>
      <c r="C327" s="2">
        <v>972</v>
      </c>
      <c r="D327" s="19">
        <v>1.2858374118804929</v>
      </c>
      <c r="E327" s="2">
        <v>1010</v>
      </c>
      <c r="F327" s="19">
        <v>1.440962553024292</v>
      </c>
      <c r="G327" s="2">
        <v>971</v>
      </c>
      <c r="H327" s="19">
        <v>1.0996577739715581</v>
      </c>
      <c r="I327" s="14">
        <f t="shared" si="5"/>
        <v>13.23024054982818</v>
      </c>
      <c r="J327" s="31"/>
      <c r="K327" s="25">
        <v>881.77261357202474</v>
      </c>
      <c r="L327" s="19">
        <v>1.0746052265167241</v>
      </c>
      <c r="M327" s="23">
        <v>873.96855772048559</v>
      </c>
      <c r="N327" s="19">
        <v>0.96525740623474121</v>
      </c>
      <c r="O327" s="23">
        <v>897.64883712866583</v>
      </c>
      <c r="P327" s="26">
        <v>1.0057294368743901</v>
      </c>
    </row>
    <row r="328" spans="1:16" x14ac:dyDescent="0.3">
      <c r="A328" s="30" t="s">
        <v>329</v>
      </c>
      <c r="B328" s="3">
        <v>1164</v>
      </c>
      <c r="C328" s="2">
        <v>978</v>
      </c>
      <c r="D328" s="19">
        <v>2.04217529296875</v>
      </c>
      <c r="E328" s="2">
        <v>1008</v>
      </c>
      <c r="F328" s="19">
        <v>2.2414319515228271</v>
      </c>
      <c r="G328" s="2">
        <v>981</v>
      </c>
      <c r="H328" s="19">
        <v>1.102154493331909</v>
      </c>
      <c r="I328" s="14">
        <f t="shared" si="5"/>
        <v>13.402061855670103</v>
      </c>
      <c r="J328" s="31"/>
      <c r="K328" s="25">
        <v>864.84616648863653</v>
      </c>
      <c r="L328" s="19">
        <v>1.063637495040894</v>
      </c>
      <c r="M328" s="23">
        <v>885.85556882576486</v>
      </c>
      <c r="N328" s="19">
        <v>0.99389481544494629</v>
      </c>
      <c r="O328" s="23">
        <v>868.81284678448696</v>
      </c>
      <c r="P328" s="26">
        <v>1.0381898880004881</v>
      </c>
    </row>
    <row r="329" spans="1:16" x14ac:dyDescent="0.3">
      <c r="A329" s="30" t="s">
        <v>330</v>
      </c>
      <c r="B329" s="3">
        <v>1164</v>
      </c>
      <c r="C329" s="2">
        <v>1001</v>
      </c>
      <c r="D329" s="19">
        <v>2.425756692886353</v>
      </c>
      <c r="E329" s="2">
        <v>1019</v>
      </c>
      <c r="F329" s="19">
        <v>2.387160062789917</v>
      </c>
      <c r="G329" s="2">
        <v>1029</v>
      </c>
      <c r="H329" s="19">
        <v>1.1953361034393311</v>
      </c>
      <c r="I329" s="14">
        <f t="shared" si="5"/>
        <v>11.597938144329897</v>
      </c>
      <c r="J329" s="31"/>
      <c r="K329" s="25">
        <v>873.34674745157065</v>
      </c>
      <c r="L329" s="19">
        <v>1.154037237167358</v>
      </c>
      <c r="M329" s="23">
        <v>889.50139797702036</v>
      </c>
      <c r="N329" s="19">
        <v>1.0308501720428469</v>
      </c>
      <c r="O329" s="23">
        <v>886.69173373784429</v>
      </c>
      <c r="P329" s="26">
        <v>1.1904656887054439</v>
      </c>
    </row>
    <row r="330" spans="1:16" x14ac:dyDescent="0.3">
      <c r="A330" s="30" t="s">
        <v>331</v>
      </c>
      <c r="B330" s="3">
        <v>1164</v>
      </c>
      <c r="C330" s="2">
        <v>980</v>
      </c>
      <c r="D330" s="19">
        <v>2.197726726531982</v>
      </c>
      <c r="E330" s="2">
        <v>1029</v>
      </c>
      <c r="F330" s="19">
        <v>1.9374237060546879</v>
      </c>
      <c r="G330" s="2">
        <v>989</v>
      </c>
      <c r="H330" s="19">
        <v>1.244404554367065</v>
      </c>
      <c r="I330" s="14">
        <f t="shared" si="5"/>
        <v>11.597938144329897</v>
      </c>
      <c r="J330" s="31"/>
      <c r="K330" s="25">
        <v>931.69718230159936</v>
      </c>
      <c r="L330" s="19">
        <v>1.182885885238647</v>
      </c>
      <c r="M330" s="23">
        <v>918.77139849079151</v>
      </c>
      <c r="N330" s="19">
        <v>1.0676727294921879</v>
      </c>
      <c r="O330" s="23">
        <v>887.16206400071405</v>
      </c>
      <c r="P330" s="26">
        <v>1.1483762264251709</v>
      </c>
    </row>
    <row r="331" spans="1:16" x14ac:dyDescent="0.3">
      <c r="A331" s="30" t="s">
        <v>332</v>
      </c>
      <c r="B331" s="3">
        <v>1164</v>
      </c>
      <c r="C331" s="2">
        <v>964</v>
      </c>
      <c r="D331" s="19">
        <v>1.5969488620758061</v>
      </c>
      <c r="E331" s="2">
        <v>1000</v>
      </c>
      <c r="F331" s="19">
        <v>1.635769844055176</v>
      </c>
      <c r="G331" s="2">
        <v>989</v>
      </c>
      <c r="H331" s="19">
        <v>1.202008724212646</v>
      </c>
      <c r="I331" s="14">
        <f t="shared" si="5"/>
        <v>14.0893470790378</v>
      </c>
      <c r="J331" s="31"/>
      <c r="K331" s="25">
        <v>880.66590296992661</v>
      </c>
      <c r="L331" s="19">
        <v>1.188510417938232</v>
      </c>
      <c r="M331" s="23">
        <v>921.93024785752789</v>
      </c>
      <c r="N331" s="19">
        <v>1.0747611522674561</v>
      </c>
      <c r="O331" s="23">
        <v>884.98944888433107</v>
      </c>
      <c r="P331" s="26">
        <v>1.1577672958374019</v>
      </c>
    </row>
    <row r="332" spans="1:16" x14ac:dyDescent="0.3">
      <c r="A332" s="30" t="s">
        <v>333</v>
      </c>
      <c r="B332" s="3">
        <v>1164</v>
      </c>
      <c r="C332" s="2">
        <v>1038</v>
      </c>
      <c r="D332" s="19">
        <v>1.7225992679595949</v>
      </c>
      <c r="E332" s="2">
        <v>1011</v>
      </c>
      <c r="F332" s="19">
        <v>1.6475687026977539</v>
      </c>
      <c r="G332" s="2">
        <v>993</v>
      </c>
      <c r="H332" s="19">
        <v>1.2215144634246831</v>
      </c>
      <c r="I332" s="14">
        <f t="shared" si="5"/>
        <v>10.824742268041238</v>
      </c>
      <c r="J332" s="31"/>
      <c r="K332" s="25">
        <v>830.59447087441288</v>
      </c>
      <c r="L332" s="19">
        <v>1.088765621185303</v>
      </c>
      <c r="M332" s="23">
        <v>819.57534583681922</v>
      </c>
      <c r="N332" s="19">
        <v>1.086850166320801</v>
      </c>
      <c r="O332" s="23">
        <v>838.11524983472691</v>
      </c>
      <c r="P332" s="26">
        <v>1.1494486331939699</v>
      </c>
    </row>
    <row r="333" spans="1:16" x14ac:dyDescent="0.3">
      <c r="A333" s="30" t="s">
        <v>334</v>
      </c>
      <c r="B333" s="3">
        <v>1164</v>
      </c>
      <c r="C333" s="2">
        <v>955</v>
      </c>
      <c r="D333" s="19">
        <v>1.5169913768768311</v>
      </c>
      <c r="E333" s="2">
        <v>1077</v>
      </c>
      <c r="F333" s="19">
        <v>1.6202466487884519</v>
      </c>
      <c r="G333" s="2">
        <v>974</v>
      </c>
      <c r="H333" s="19">
        <v>1.2278950214385991</v>
      </c>
      <c r="I333" s="14">
        <f t="shared" si="5"/>
        <v>7.4742268041237114</v>
      </c>
      <c r="J333" s="31"/>
      <c r="K333" s="25">
        <v>855.49337825077293</v>
      </c>
      <c r="L333" s="19">
        <v>1.0888998508453369</v>
      </c>
      <c r="M333" s="23">
        <v>841.20832712168249</v>
      </c>
      <c r="N333" s="19">
        <v>1.079954147338867</v>
      </c>
      <c r="O333" s="23">
        <v>851.34458046529994</v>
      </c>
      <c r="P333" s="26">
        <v>1.2770142555236821</v>
      </c>
    </row>
    <row r="334" spans="1:16" x14ac:dyDescent="0.3">
      <c r="A334" s="30" t="s">
        <v>335</v>
      </c>
      <c r="B334" s="3">
        <v>1201</v>
      </c>
      <c r="C334" s="2">
        <v>1039</v>
      </c>
      <c r="D334" s="19">
        <v>1.7537798881530759</v>
      </c>
      <c r="E334" s="2">
        <v>1077</v>
      </c>
      <c r="F334" s="19">
        <v>1.434883594512939</v>
      </c>
      <c r="G334" s="2">
        <v>1057</v>
      </c>
      <c r="H334" s="19">
        <v>1.1255495548248291</v>
      </c>
      <c r="I334" s="14">
        <f t="shared" si="5"/>
        <v>10.32472939217319</v>
      </c>
      <c r="J334" s="31"/>
      <c r="K334" s="25">
        <v>968.79386790011665</v>
      </c>
      <c r="L334" s="19">
        <v>0.99941182136535645</v>
      </c>
      <c r="M334" s="23">
        <v>978.08652238778234</v>
      </c>
      <c r="N334" s="19">
        <v>0.98230147361755371</v>
      </c>
      <c r="O334" s="23">
        <v>959.13070825219654</v>
      </c>
      <c r="P334" s="26">
        <v>1.168133497238159</v>
      </c>
    </row>
    <row r="335" spans="1:16" x14ac:dyDescent="0.3">
      <c r="A335" s="30" t="s">
        <v>336</v>
      </c>
      <c r="B335" s="3">
        <v>1201</v>
      </c>
      <c r="C335" s="2">
        <v>1051</v>
      </c>
      <c r="D335" s="19">
        <v>1.683161735534668</v>
      </c>
      <c r="E335" s="2">
        <v>1079</v>
      </c>
      <c r="F335" s="19">
        <v>1.303794145584106</v>
      </c>
      <c r="G335" s="2">
        <v>1028</v>
      </c>
      <c r="H335" s="19">
        <v>1.1240935325622561</v>
      </c>
      <c r="I335" s="14">
        <f t="shared" si="5"/>
        <v>10.158201498751041</v>
      </c>
      <c r="J335" s="31"/>
      <c r="K335" s="25">
        <v>943.50138211158037</v>
      </c>
      <c r="L335" s="19">
        <v>1.099798440933228</v>
      </c>
      <c r="M335" s="23">
        <v>946.90893889486301</v>
      </c>
      <c r="N335" s="19">
        <v>1.021840572357178</v>
      </c>
      <c r="O335" s="23">
        <v>895.85356390621814</v>
      </c>
      <c r="P335" s="26">
        <v>1.1222696304321289</v>
      </c>
    </row>
    <row r="336" spans="1:16" x14ac:dyDescent="0.3">
      <c r="A336" s="30" t="s">
        <v>337</v>
      </c>
      <c r="B336" s="3">
        <v>1201</v>
      </c>
      <c r="C336" s="2">
        <v>1007</v>
      </c>
      <c r="D336" s="19">
        <v>2.1827347278594971</v>
      </c>
      <c r="E336" s="2">
        <v>1059</v>
      </c>
      <c r="F336" s="19">
        <v>1.5338084697723391</v>
      </c>
      <c r="G336" s="2">
        <v>1059</v>
      </c>
      <c r="H336" s="19">
        <v>1.154451370239258</v>
      </c>
      <c r="I336" s="14">
        <f t="shared" si="5"/>
        <v>11.823480432972524</v>
      </c>
      <c r="J336" s="31"/>
      <c r="K336" s="25">
        <v>930.8471043652288</v>
      </c>
      <c r="L336" s="19">
        <v>1.139797687530518</v>
      </c>
      <c r="M336" s="23">
        <v>933.80342526571599</v>
      </c>
      <c r="N336" s="19">
        <v>1.044745206832886</v>
      </c>
      <c r="O336" s="23">
        <v>911.08621457368247</v>
      </c>
      <c r="P336" s="26">
        <v>1.085346460342407</v>
      </c>
    </row>
    <row r="337" spans="1:16" x14ac:dyDescent="0.3">
      <c r="A337" s="30" t="s">
        <v>338</v>
      </c>
      <c r="B337" s="3">
        <v>1201</v>
      </c>
      <c r="C337" s="2">
        <v>1082</v>
      </c>
      <c r="D337" s="19">
        <v>2.2823987007141109</v>
      </c>
      <c r="E337" s="2">
        <v>1072</v>
      </c>
      <c r="F337" s="19">
        <v>1.533101558685303</v>
      </c>
      <c r="G337" s="2">
        <v>1067</v>
      </c>
      <c r="H337" s="19">
        <v>1.1553802490234379</v>
      </c>
      <c r="I337" s="14">
        <f t="shared" si="5"/>
        <v>9.9084096586178187</v>
      </c>
      <c r="J337" s="31"/>
      <c r="K337" s="25">
        <v>929.42528685300101</v>
      </c>
      <c r="L337" s="19">
        <v>1.1194725036621089</v>
      </c>
      <c r="M337" s="23">
        <v>960.52477388984448</v>
      </c>
      <c r="N337" s="19">
        <v>1.0555489063262939</v>
      </c>
      <c r="O337" s="23">
        <v>943.45525591080059</v>
      </c>
      <c r="P337" s="26">
        <v>1.0789656639099121</v>
      </c>
    </row>
    <row r="338" spans="1:16" x14ac:dyDescent="0.3">
      <c r="A338" s="30" t="s">
        <v>339</v>
      </c>
      <c r="B338" s="3">
        <v>1201</v>
      </c>
      <c r="C338" s="2">
        <v>1036</v>
      </c>
      <c r="D338" s="19">
        <v>1.950235843658447</v>
      </c>
      <c r="E338" s="2">
        <v>1064</v>
      </c>
      <c r="F338" s="19">
        <v>1.3530786037445071</v>
      </c>
      <c r="G338" s="2">
        <v>1059</v>
      </c>
      <c r="H338" s="19">
        <v>1.1663999557495119</v>
      </c>
      <c r="I338" s="14">
        <f t="shared" si="5"/>
        <v>11.407160699417153</v>
      </c>
      <c r="J338" s="31"/>
      <c r="K338" s="25">
        <v>931.49358536124851</v>
      </c>
      <c r="L338" s="19">
        <v>1.0863304138183589</v>
      </c>
      <c r="M338" s="23">
        <v>923.01137648167207</v>
      </c>
      <c r="N338" s="19">
        <v>1.039115190505981</v>
      </c>
      <c r="O338" s="23">
        <v>891.67212963445297</v>
      </c>
      <c r="P338" s="26">
        <v>0.99590444564819336</v>
      </c>
    </row>
    <row r="339" spans="1:16" x14ac:dyDescent="0.3">
      <c r="A339" s="30" t="s">
        <v>340</v>
      </c>
      <c r="B339" s="3">
        <v>1201</v>
      </c>
      <c r="C339" s="2">
        <v>1029</v>
      </c>
      <c r="D339" s="19">
        <v>1.6157910823822019</v>
      </c>
      <c r="E339" s="2">
        <v>1074</v>
      </c>
      <c r="F339" s="19">
        <v>1.457178115844727</v>
      </c>
      <c r="G339" s="2">
        <v>1066</v>
      </c>
      <c r="H339" s="19">
        <v>1.16569447517395</v>
      </c>
      <c r="I339" s="14">
        <f t="shared" si="5"/>
        <v>10.574521232306411</v>
      </c>
      <c r="J339" s="31"/>
      <c r="K339" s="25">
        <v>923.64249604179611</v>
      </c>
      <c r="L339" s="19">
        <v>1.0797867774963379</v>
      </c>
      <c r="M339" s="23">
        <v>969.43958227124199</v>
      </c>
      <c r="N339" s="19">
        <v>1.0729243755340581</v>
      </c>
      <c r="O339" s="23">
        <v>975.14170730087346</v>
      </c>
      <c r="P339" s="26">
        <v>1.086417436599731</v>
      </c>
    </row>
    <row r="340" spans="1:16" x14ac:dyDescent="0.3">
      <c r="A340" s="30" t="s">
        <v>341</v>
      </c>
      <c r="B340" s="3">
        <v>1201</v>
      </c>
      <c r="C340" s="2">
        <v>1072</v>
      </c>
      <c r="D340" s="19">
        <v>1.913485527038574</v>
      </c>
      <c r="E340" s="2">
        <v>1073</v>
      </c>
      <c r="F340" s="19">
        <v>1.9368128776550291</v>
      </c>
      <c r="G340" s="2">
        <v>1071</v>
      </c>
      <c r="H340" s="19">
        <v>1.2556347846984861</v>
      </c>
      <c r="I340" s="14">
        <f t="shared" si="5"/>
        <v>10.657785179017486</v>
      </c>
      <c r="J340" s="31"/>
      <c r="K340" s="25">
        <v>927.47868865297926</v>
      </c>
      <c r="L340" s="19">
        <v>1.1420342922210689</v>
      </c>
      <c r="M340" s="23">
        <v>949.53437405635304</v>
      </c>
      <c r="N340" s="19">
        <v>1.0939762592315669</v>
      </c>
      <c r="O340" s="23">
        <v>935.98313513877815</v>
      </c>
      <c r="P340" s="26">
        <v>1.093866348266602</v>
      </c>
    </row>
    <row r="341" spans="1:16" x14ac:dyDescent="0.3">
      <c r="A341" s="30" t="s">
        <v>342</v>
      </c>
      <c r="B341" s="3">
        <v>1201</v>
      </c>
      <c r="C341" s="2">
        <v>1060</v>
      </c>
      <c r="D341" s="19">
        <v>1.790819406509399</v>
      </c>
      <c r="E341" s="2">
        <v>1062</v>
      </c>
      <c r="F341" s="19">
        <v>1.53620457649231</v>
      </c>
      <c r="G341" s="2">
        <v>1056</v>
      </c>
      <c r="H341" s="19">
        <v>1.3078575134277339</v>
      </c>
      <c r="I341" s="14">
        <f t="shared" si="5"/>
        <v>11.5736885928393</v>
      </c>
      <c r="J341" s="31"/>
      <c r="K341" s="25">
        <v>940.54187482624877</v>
      </c>
      <c r="L341" s="19">
        <v>1.091740608215332</v>
      </c>
      <c r="M341" s="23">
        <v>942.36841151492911</v>
      </c>
      <c r="N341" s="19">
        <v>1.106306314468384</v>
      </c>
      <c r="O341" s="23">
        <v>894.72979521668572</v>
      </c>
      <c r="P341" s="26">
        <v>1.140123605728149</v>
      </c>
    </row>
    <row r="342" spans="1:16" x14ac:dyDescent="0.3">
      <c r="A342" s="30" t="s">
        <v>343</v>
      </c>
      <c r="B342" s="3">
        <v>1201</v>
      </c>
      <c r="C342" s="2">
        <v>1002</v>
      </c>
      <c r="D342" s="19">
        <v>1.728699684143066</v>
      </c>
      <c r="E342" s="2">
        <v>1068</v>
      </c>
      <c r="F342" s="19">
        <v>1.583633661270142</v>
      </c>
      <c r="G342" s="2">
        <v>1027</v>
      </c>
      <c r="H342" s="19">
        <v>1.23044753074646</v>
      </c>
      <c r="I342" s="14">
        <f t="shared" si="5"/>
        <v>11.074104912572857</v>
      </c>
      <c r="J342" s="31"/>
      <c r="K342" s="25">
        <v>917.03168813776097</v>
      </c>
      <c r="L342" s="19">
        <v>1.135063171386719</v>
      </c>
      <c r="M342" s="23">
        <v>897.01559669938297</v>
      </c>
      <c r="N342" s="19">
        <v>1.1097369194030759</v>
      </c>
      <c r="O342" s="23">
        <v>901.32314861089162</v>
      </c>
      <c r="P342" s="26">
        <v>1.2610137462615969</v>
      </c>
    </row>
    <row r="343" spans="1:16" x14ac:dyDescent="0.3">
      <c r="A343" s="30" t="s">
        <v>344</v>
      </c>
      <c r="B343" s="3">
        <v>1201</v>
      </c>
      <c r="C343" s="2">
        <v>1030</v>
      </c>
      <c r="D343" s="19">
        <v>2.404995441436768</v>
      </c>
      <c r="E343" s="2">
        <v>1083</v>
      </c>
      <c r="F343" s="19">
        <v>1.624648809432983</v>
      </c>
      <c r="G343" s="2">
        <v>1051</v>
      </c>
      <c r="H343" s="19">
        <v>1.288424491882324</v>
      </c>
      <c r="I343" s="14">
        <f t="shared" si="5"/>
        <v>9.8251457119067442</v>
      </c>
      <c r="J343" s="31"/>
      <c r="K343" s="25">
        <v>870.99107584755177</v>
      </c>
      <c r="L343" s="19">
        <v>1.110286951065063</v>
      </c>
      <c r="M343" s="23">
        <v>887.50674910529324</v>
      </c>
      <c r="N343" s="19">
        <v>1.0923197269439699</v>
      </c>
      <c r="O343" s="23">
        <v>920.20895238876426</v>
      </c>
      <c r="P343" s="26">
        <v>1.26247239112854</v>
      </c>
    </row>
    <row r="344" spans="1:16" x14ac:dyDescent="0.3">
      <c r="A344" s="30" t="s">
        <v>345</v>
      </c>
      <c r="B344" s="3">
        <v>1201</v>
      </c>
      <c r="C344" s="2">
        <v>963</v>
      </c>
      <c r="D344" s="19">
        <v>3.171359777450562</v>
      </c>
      <c r="E344" s="2">
        <v>991</v>
      </c>
      <c r="F344" s="19">
        <v>1.691530704498291</v>
      </c>
      <c r="G344" s="2">
        <v>1056</v>
      </c>
      <c r="H344" s="19">
        <v>1.307597875595093</v>
      </c>
      <c r="I344" s="14">
        <f t="shared" si="5"/>
        <v>12.073272273105745</v>
      </c>
      <c r="J344" s="31"/>
      <c r="K344" s="25">
        <v>855.21240490822038</v>
      </c>
      <c r="L344" s="19">
        <v>1.216765165328979</v>
      </c>
      <c r="M344" s="23">
        <v>866.17923099950735</v>
      </c>
      <c r="N344" s="19">
        <v>1.129431486129761</v>
      </c>
      <c r="O344" s="23">
        <v>879.13042222036847</v>
      </c>
      <c r="P344" s="26">
        <v>1.2004740238189699</v>
      </c>
    </row>
    <row r="345" spans="1:16" x14ac:dyDescent="0.3">
      <c r="A345" s="30" t="s">
        <v>346</v>
      </c>
      <c r="B345" s="3">
        <v>1234</v>
      </c>
      <c r="C345" s="2">
        <v>1112</v>
      </c>
      <c r="D345" s="19">
        <v>2.2517297267913818</v>
      </c>
      <c r="E345" s="2">
        <v>1105</v>
      </c>
      <c r="F345" s="19">
        <v>1.420440196990967</v>
      </c>
      <c r="G345" s="2">
        <v>1104</v>
      </c>
      <c r="H345" s="19">
        <v>1.145213842391968</v>
      </c>
      <c r="I345" s="14">
        <f t="shared" si="5"/>
        <v>9.8865478119935162</v>
      </c>
      <c r="J345" s="31"/>
      <c r="K345" s="25">
        <v>970.80967626508243</v>
      </c>
      <c r="L345" s="19">
        <v>1.1132946014404299</v>
      </c>
      <c r="M345" s="23">
        <v>1005.223559343155</v>
      </c>
      <c r="N345" s="19">
        <v>1.0514223575592041</v>
      </c>
      <c r="O345" s="23">
        <v>966.37170936370103</v>
      </c>
      <c r="P345" s="26">
        <v>1.067028284072876</v>
      </c>
    </row>
    <row r="346" spans="1:16" x14ac:dyDescent="0.3">
      <c r="A346" s="30" t="s">
        <v>347</v>
      </c>
      <c r="B346" s="3">
        <v>1234</v>
      </c>
      <c r="C346" s="2">
        <v>1081</v>
      </c>
      <c r="D346" s="19">
        <v>1.66780161857605</v>
      </c>
      <c r="E346" s="2">
        <v>1110</v>
      </c>
      <c r="F346" s="19">
        <v>1.4910528659820561</v>
      </c>
      <c r="G346" s="2">
        <v>1106</v>
      </c>
      <c r="H346" s="19">
        <v>1.182239770889282</v>
      </c>
      <c r="I346" s="14">
        <f t="shared" si="5"/>
        <v>10.048622366288493</v>
      </c>
      <c r="J346" s="31"/>
      <c r="K346" s="25">
        <v>955.5684153416455</v>
      </c>
      <c r="L346" s="19">
        <v>1.1550760269165039</v>
      </c>
      <c r="M346" s="23">
        <v>981.92231934020469</v>
      </c>
      <c r="N346" s="19">
        <v>1.0364770889282231</v>
      </c>
      <c r="O346" s="23">
        <v>965.31893798400199</v>
      </c>
      <c r="P346" s="26">
        <v>1.0245311260223391</v>
      </c>
    </row>
    <row r="347" spans="1:16" x14ac:dyDescent="0.3">
      <c r="A347" s="30" t="s">
        <v>348</v>
      </c>
      <c r="B347" s="3">
        <v>1234</v>
      </c>
      <c r="C347" s="2">
        <v>1058</v>
      </c>
      <c r="D347" s="19">
        <v>1.6319844722747801</v>
      </c>
      <c r="E347" s="2">
        <v>1096</v>
      </c>
      <c r="F347" s="19">
        <v>2.5707030296325679</v>
      </c>
      <c r="G347" s="2">
        <v>1106</v>
      </c>
      <c r="H347" s="19">
        <v>1.1777141094207759</v>
      </c>
      <c r="I347" s="14">
        <f t="shared" si="5"/>
        <v>10.372771474878444</v>
      </c>
      <c r="J347" s="31"/>
      <c r="K347" s="25">
        <v>960.85501925995425</v>
      </c>
      <c r="L347" s="19">
        <v>1.2293965816497801</v>
      </c>
      <c r="M347" s="23">
        <v>968.0376043875583</v>
      </c>
      <c r="N347" s="19">
        <v>1.041897058486938</v>
      </c>
      <c r="O347" s="23">
        <v>948.97412442863424</v>
      </c>
      <c r="P347" s="26">
        <v>1.0374162197113039</v>
      </c>
    </row>
    <row r="348" spans="1:16" x14ac:dyDescent="0.3">
      <c r="A348" s="30" t="s">
        <v>349</v>
      </c>
      <c r="B348" s="3">
        <v>1234</v>
      </c>
      <c r="C348" s="2">
        <v>1113</v>
      </c>
      <c r="D348" s="19">
        <v>1.760656595230103</v>
      </c>
      <c r="E348" s="2">
        <v>1120</v>
      </c>
      <c r="F348" s="19">
        <v>2.421601295471191</v>
      </c>
      <c r="G348" s="2">
        <v>1127</v>
      </c>
      <c r="H348" s="19">
        <v>1.203444719314575</v>
      </c>
      <c r="I348" s="14">
        <f t="shared" si="5"/>
        <v>8.6709886547811994</v>
      </c>
      <c r="J348" s="31"/>
      <c r="K348" s="25">
        <v>988.31911882652128</v>
      </c>
      <c r="L348" s="19">
        <v>1.2593879699707029</v>
      </c>
      <c r="M348" s="23">
        <v>976.86964131615082</v>
      </c>
      <c r="N348" s="19">
        <v>1.0592465400695801</v>
      </c>
      <c r="O348" s="23">
        <v>985.84245339361371</v>
      </c>
      <c r="P348" s="26">
        <v>1.032197952270508</v>
      </c>
    </row>
    <row r="349" spans="1:16" x14ac:dyDescent="0.3">
      <c r="A349" s="30" t="s">
        <v>350</v>
      </c>
      <c r="B349" s="3">
        <v>1234</v>
      </c>
      <c r="C349" s="2">
        <v>1094</v>
      </c>
      <c r="D349" s="19">
        <v>1.6068201065063481</v>
      </c>
      <c r="E349" s="2">
        <v>1109</v>
      </c>
      <c r="F349" s="19">
        <v>2.8036758899688721</v>
      </c>
      <c r="G349" s="2">
        <v>1091</v>
      </c>
      <c r="H349" s="19">
        <v>1.2192273139953611</v>
      </c>
      <c r="I349" s="14">
        <f t="shared" si="5"/>
        <v>10.12965964343598</v>
      </c>
      <c r="J349" s="31"/>
      <c r="K349" s="25">
        <v>944.34684009164221</v>
      </c>
      <c r="L349" s="19">
        <v>1.2988555431365969</v>
      </c>
      <c r="M349" s="23">
        <v>969.32835506514914</v>
      </c>
      <c r="N349" s="19">
        <v>1.0763359069824221</v>
      </c>
      <c r="O349" s="23">
        <v>956.85577920438243</v>
      </c>
      <c r="P349" s="26">
        <v>1.052611351013184</v>
      </c>
    </row>
    <row r="350" spans="1:16" x14ac:dyDescent="0.3">
      <c r="A350" s="30" t="s">
        <v>351</v>
      </c>
      <c r="B350" s="3">
        <v>1234</v>
      </c>
      <c r="C350" s="2">
        <v>1083</v>
      </c>
      <c r="D350" s="19">
        <v>1.6695947647094731</v>
      </c>
      <c r="E350" s="2">
        <v>1109</v>
      </c>
      <c r="F350" s="19">
        <v>2.086546897888184</v>
      </c>
      <c r="G350" s="2">
        <v>1102</v>
      </c>
      <c r="H350" s="19">
        <v>1.27336049079895</v>
      </c>
      <c r="I350" s="14">
        <f t="shared" si="5"/>
        <v>10.12965964343598</v>
      </c>
      <c r="J350" s="31"/>
      <c r="K350" s="25">
        <v>951.63569144484268</v>
      </c>
      <c r="L350" s="19">
        <v>1.2426707744598391</v>
      </c>
      <c r="M350" s="23">
        <v>961.21548023498497</v>
      </c>
      <c r="N350" s="19">
        <v>1.060701370239258</v>
      </c>
      <c r="O350" s="23">
        <v>964.58988045420256</v>
      </c>
      <c r="P350" s="26">
        <v>1.055541038513184</v>
      </c>
    </row>
    <row r="351" spans="1:16" x14ac:dyDescent="0.3">
      <c r="A351" s="30" t="s">
        <v>352</v>
      </c>
      <c r="B351" s="3">
        <v>1234</v>
      </c>
      <c r="C351" s="2">
        <v>1102</v>
      </c>
      <c r="D351" s="19">
        <v>1.9654750823974609</v>
      </c>
      <c r="E351" s="2">
        <v>1125</v>
      </c>
      <c r="F351" s="19">
        <v>2.2520523071289058</v>
      </c>
      <c r="G351" s="2">
        <v>1109</v>
      </c>
      <c r="H351" s="19">
        <v>1.2941398620605471</v>
      </c>
      <c r="I351" s="14">
        <f t="shared" si="5"/>
        <v>8.833063209076176</v>
      </c>
      <c r="J351" s="31"/>
      <c r="K351" s="25">
        <v>957.22859898333877</v>
      </c>
      <c r="L351" s="19">
        <v>1.45044994354248</v>
      </c>
      <c r="M351" s="23">
        <v>960.95276526902035</v>
      </c>
      <c r="N351" s="19">
        <v>1.11621618270874</v>
      </c>
      <c r="O351" s="23">
        <v>956.23048616433937</v>
      </c>
      <c r="P351" s="26">
        <v>1.1177961826324461</v>
      </c>
    </row>
    <row r="352" spans="1:16" x14ac:dyDescent="0.3">
      <c r="A352" s="30" t="s">
        <v>353</v>
      </c>
      <c r="B352" s="3">
        <v>1234</v>
      </c>
      <c r="C352" s="2">
        <v>1101</v>
      </c>
      <c r="D352" s="19">
        <v>1.8404853343963621</v>
      </c>
      <c r="E352" s="2">
        <v>1117</v>
      </c>
      <c r="F352" s="19">
        <v>2.1533479690551758</v>
      </c>
      <c r="G352" s="2">
        <v>1097</v>
      </c>
      <c r="H352" s="19">
        <v>1.4975841045379641</v>
      </c>
      <c r="I352" s="14">
        <f t="shared" si="5"/>
        <v>9.481361426256079</v>
      </c>
      <c r="J352" s="31"/>
      <c r="K352" s="25">
        <v>954.86507339378602</v>
      </c>
      <c r="L352" s="19">
        <v>1.488439559936523</v>
      </c>
      <c r="M352" s="23">
        <v>966.87717861233716</v>
      </c>
      <c r="N352" s="19">
        <v>1.1179864406585689</v>
      </c>
      <c r="O352" s="23">
        <v>950.17091233440783</v>
      </c>
      <c r="P352" s="26">
        <v>1.1557562351226811</v>
      </c>
    </row>
    <row r="353" spans="1:16" x14ac:dyDescent="0.3">
      <c r="A353" s="30" t="s">
        <v>354</v>
      </c>
      <c r="B353" s="3">
        <v>1234</v>
      </c>
      <c r="C353" s="2">
        <v>1064</v>
      </c>
      <c r="D353" s="19">
        <v>1.8288974761962891</v>
      </c>
      <c r="E353" s="2">
        <v>1129</v>
      </c>
      <c r="F353" s="19">
        <v>2.2253355979919429</v>
      </c>
      <c r="G353" s="2">
        <v>1119</v>
      </c>
      <c r="H353" s="19">
        <v>1.4204726219177251</v>
      </c>
      <c r="I353" s="14">
        <f t="shared" si="5"/>
        <v>8.5089141004862245</v>
      </c>
      <c r="J353" s="31"/>
      <c r="K353" s="25">
        <v>967.24400057145385</v>
      </c>
      <c r="L353" s="19">
        <v>1.476046085357666</v>
      </c>
      <c r="M353" s="23">
        <v>988.74067576318237</v>
      </c>
      <c r="N353" s="19">
        <v>1.14092493057251</v>
      </c>
      <c r="O353" s="23">
        <v>961.71974991004106</v>
      </c>
      <c r="P353" s="26">
        <v>1.1128416061401369</v>
      </c>
    </row>
    <row r="354" spans="1:16" x14ac:dyDescent="0.3">
      <c r="A354" s="30" t="s">
        <v>355</v>
      </c>
      <c r="B354" s="3">
        <v>1234</v>
      </c>
      <c r="C354" s="2">
        <v>1090</v>
      </c>
      <c r="D354" s="19">
        <v>2.188414335250854</v>
      </c>
      <c r="E354" s="2">
        <v>1093</v>
      </c>
      <c r="F354" s="19">
        <v>2.1693098545074458</v>
      </c>
      <c r="G354" s="2">
        <v>1057</v>
      </c>
      <c r="H354" s="19">
        <v>1.572744607925415</v>
      </c>
      <c r="I354" s="14">
        <f t="shared" si="5"/>
        <v>11.426256077795786</v>
      </c>
      <c r="J354" s="31"/>
      <c r="K354" s="25">
        <v>952.39450061557113</v>
      </c>
      <c r="L354" s="19">
        <v>1.434849739074707</v>
      </c>
      <c r="M354" s="23">
        <v>975.91308050094767</v>
      </c>
      <c r="N354" s="19">
        <v>1.246732234954834</v>
      </c>
      <c r="O354" s="23">
        <v>936.157534847482</v>
      </c>
      <c r="P354" s="26">
        <v>1.179502487182617</v>
      </c>
    </row>
    <row r="355" spans="1:16" x14ac:dyDescent="0.3">
      <c r="A355" s="30" t="s">
        <v>356</v>
      </c>
      <c r="B355" s="3">
        <v>1234</v>
      </c>
      <c r="C355" s="2">
        <v>1023</v>
      </c>
      <c r="D355" s="19">
        <v>1.9196629524230959</v>
      </c>
      <c r="E355" s="2">
        <v>1061</v>
      </c>
      <c r="F355" s="19">
        <v>2.1492998600006099</v>
      </c>
      <c r="G355" s="2">
        <v>1119</v>
      </c>
      <c r="H355" s="19">
        <v>1.564639091491699</v>
      </c>
      <c r="I355" s="14">
        <f t="shared" si="5"/>
        <v>9.3192868719611024</v>
      </c>
      <c r="J355" s="31"/>
      <c r="K355" s="25">
        <v>954.872727664884</v>
      </c>
      <c r="L355" s="19">
        <v>1.3436281681060791</v>
      </c>
      <c r="M355" s="23">
        <v>967.69620381887944</v>
      </c>
      <c r="N355" s="19">
        <v>1.227213859558105</v>
      </c>
      <c r="O355" s="23">
        <v>926.49714485894754</v>
      </c>
      <c r="P355" s="26">
        <v>1.2151997089385991</v>
      </c>
    </row>
    <row r="356" spans="1:16" x14ac:dyDescent="0.3">
      <c r="A356" s="30" t="s">
        <v>357</v>
      </c>
      <c r="B356" s="3">
        <v>1261</v>
      </c>
      <c r="C356" s="2">
        <v>1160</v>
      </c>
      <c r="D356" s="19">
        <v>1.9954700469970701</v>
      </c>
      <c r="E356" s="2">
        <v>1163</v>
      </c>
      <c r="F356" s="19">
        <v>1.8028321266174321</v>
      </c>
      <c r="G356" s="2">
        <v>1166</v>
      </c>
      <c r="H356" s="19">
        <v>1.4359035491943359</v>
      </c>
      <c r="I356" s="14">
        <f t="shared" si="5"/>
        <v>7.5337034099920697</v>
      </c>
      <c r="J356" s="31"/>
      <c r="K356" s="25">
        <v>993.91538588661513</v>
      </c>
      <c r="L356" s="19">
        <v>1.173006057739258</v>
      </c>
      <c r="M356" s="23">
        <v>1014.318632006897</v>
      </c>
      <c r="N356" s="19">
        <v>1.042412996292114</v>
      </c>
      <c r="O356" s="23">
        <v>974.4412882519365</v>
      </c>
      <c r="P356" s="26">
        <v>1.0466570854187009</v>
      </c>
    </row>
    <row r="357" spans="1:16" x14ac:dyDescent="0.3">
      <c r="A357" s="30" t="s">
        <v>358</v>
      </c>
      <c r="B357" s="3">
        <v>1261</v>
      </c>
      <c r="C357" s="2">
        <v>1143</v>
      </c>
      <c r="D357" s="19">
        <v>1.932019710540771</v>
      </c>
      <c r="E357" s="2">
        <v>1166</v>
      </c>
      <c r="F357" s="19">
        <v>2.118094921112061</v>
      </c>
      <c r="G357" s="2">
        <v>1123</v>
      </c>
      <c r="H357" s="19">
        <v>1.331185102462769</v>
      </c>
      <c r="I357" s="14">
        <f t="shared" si="5"/>
        <v>7.5337034099920697</v>
      </c>
      <c r="J357" s="31"/>
      <c r="K357" s="25">
        <v>988.20544268216679</v>
      </c>
      <c r="L357" s="19">
        <v>1.480407238006592</v>
      </c>
      <c r="M357" s="23">
        <v>984.56738630418977</v>
      </c>
      <c r="N357" s="19">
        <v>1.0703930854797361</v>
      </c>
      <c r="O357" s="23">
        <v>992.80495111946493</v>
      </c>
      <c r="P357" s="26">
        <v>1.063517808914185</v>
      </c>
    </row>
    <row r="358" spans="1:16" x14ac:dyDescent="0.3">
      <c r="A358" s="30" t="s">
        <v>359</v>
      </c>
      <c r="B358" s="3">
        <v>1261</v>
      </c>
      <c r="C358" s="2">
        <v>1113</v>
      </c>
      <c r="D358" s="19">
        <v>1.7062745094299321</v>
      </c>
      <c r="E358" s="2">
        <v>1133</v>
      </c>
      <c r="F358" s="19">
        <v>1.7876284122467041</v>
      </c>
      <c r="G358" s="2">
        <v>1127</v>
      </c>
      <c r="H358" s="19">
        <v>1.2927906513214109</v>
      </c>
      <c r="I358" s="14">
        <f t="shared" si="5"/>
        <v>10.150674068199841</v>
      </c>
      <c r="J358" s="31"/>
      <c r="K358" s="25">
        <v>1017.260856391884</v>
      </c>
      <c r="L358" s="19">
        <v>1.168807744979858</v>
      </c>
      <c r="M358" s="23">
        <v>1003.694200378541</v>
      </c>
      <c r="N358" s="19">
        <v>1.0694313049316411</v>
      </c>
      <c r="O358" s="23">
        <v>1012.306341102355</v>
      </c>
      <c r="P358" s="26">
        <v>1.078994989395142</v>
      </c>
    </row>
    <row r="359" spans="1:16" x14ac:dyDescent="0.3">
      <c r="A359" s="30" t="s">
        <v>360</v>
      </c>
      <c r="B359" s="3">
        <v>1261</v>
      </c>
      <c r="C359" s="2">
        <v>1146</v>
      </c>
      <c r="D359" s="19">
        <v>2.6776988506317139</v>
      </c>
      <c r="E359" s="2">
        <v>1163</v>
      </c>
      <c r="F359" s="19">
        <v>1.7974264621734619</v>
      </c>
      <c r="G359" s="2">
        <v>1156</v>
      </c>
      <c r="H359" s="19">
        <v>1.253484725952148</v>
      </c>
      <c r="I359" s="14">
        <f t="shared" si="5"/>
        <v>7.7716098334655035</v>
      </c>
      <c r="J359" s="31"/>
      <c r="K359" s="25">
        <v>993.4600168671351</v>
      </c>
      <c r="L359" s="19">
        <v>1.215779066085815</v>
      </c>
      <c r="M359" s="23">
        <v>1006.0033062006891</v>
      </c>
      <c r="N359" s="19">
        <v>1.0609836578369141</v>
      </c>
      <c r="O359" s="23">
        <v>999.33601785370809</v>
      </c>
      <c r="P359" s="26">
        <v>1.051312923431396</v>
      </c>
    </row>
    <row r="360" spans="1:16" x14ac:dyDescent="0.3">
      <c r="A360" s="30" t="s">
        <v>361</v>
      </c>
      <c r="B360" s="3">
        <v>1261</v>
      </c>
      <c r="C360" s="2">
        <v>1162</v>
      </c>
      <c r="D360" s="19">
        <v>2.675505638122559</v>
      </c>
      <c r="E360" s="2">
        <v>1165</v>
      </c>
      <c r="F360" s="19">
        <v>2.6015617847442631</v>
      </c>
      <c r="G360" s="2">
        <v>1139</v>
      </c>
      <c r="H360" s="19">
        <v>1.4145123958587651</v>
      </c>
      <c r="I360" s="14">
        <f t="shared" si="5"/>
        <v>7.6130055511498806</v>
      </c>
      <c r="J360" s="31"/>
      <c r="K360" s="25">
        <v>990.42545590991733</v>
      </c>
      <c r="L360" s="19">
        <v>1.194337844848633</v>
      </c>
      <c r="M360" s="23">
        <v>978.7645189562013</v>
      </c>
      <c r="N360" s="19">
        <v>1.060890674591064</v>
      </c>
      <c r="O360" s="23">
        <v>975.45909561961719</v>
      </c>
      <c r="P360" s="26">
        <v>1.1316695213317871</v>
      </c>
    </row>
    <row r="361" spans="1:16" x14ac:dyDescent="0.3">
      <c r="A361" s="30" t="s">
        <v>362</v>
      </c>
      <c r="B361" s="3">
        <v>1261</v>
      </c>
      <c r="C361" s="2">
        <v>1139</v>
      </c>
      <c r="D361" s="19">
        <v>2.0755925178527832</v>
      </c>
      <c r="E361" s="2">
        <v>1140</v>
      </c>
      <c r="F361" s="19">
        <v>3.0519566535949711</v>
      </c>
      <c r="G361" s="2">
        <v>1138</v>
      </c>
      <c r="H361" s="19">
        <v>1.4718348979949949</v>
      </c>
      <c r="I361" s="14">
        <f t="shared" si="5"/>
        <v>9.595559080095164</v>
      </c>
      <c r="J361" s="31"/>
      <c r="K361" s="25">
        <v>1003.706535205413</v>
      </c>
      <c r="L361" s="19">
        <v>1.1249761581420901</v>
      </c>
      <c r="M361" s="23">
        <v>1002.986872616702</v>
      </c>
      <c r="N361" s="19">
        <v>1.260954618453979</v>
      </c>
      <c r="O361" s="23">
        <v>980.0172214678222</v>
      </c>
      <c r="P361" s="26">
        <v>1.1051445007324221</v>
      </c>
    </row>
    <row r="362" spans="1:16" x14ac:dyDescent="0.3">
      <c r="A362" s="30" t="s">
        <v>363</v>
      </c>
      <c r="B362" s="3">
        <v>1261</v>
      </c>
      <c r="C362" s="2">
        <v>1138</v>
      </c>
      <c r="D362" s="19">
        <v>2.2127940654754639</v>
      </c>
      <c r="E362" s="2">
        <v>1148</v>
      </c>
      <c r="F362" s="19">
        <v>2.061078548431396</v>
      </c>
      <c r="G362" s="2">
        <v>1152</v>
      </c>
      <c r="H362" s="19">
        <v>1.4442930221557619</v>
      </c>
      <c r="I362" s="14">
        <f t="shared" si="5"/>
        <v>8.6439333862014269</v>
      </c>
      <c r="J362" s="31"/>
      <c r="K362" s="25">
        <v>1007.61746770949</v>
      </c>
      <c r="L362" s="19">
        <v>1.1987695693969731</v>
      </c>
      <c r="M362" s="23">
        <v>1012.788118512454</v>
      </c>
      <c r="N362" s="19">
        <v>1.3529772758483889</v>
      </c>
      <c r="O362" s="23">
        <v>1006.6228889799891</v>
      </c>
      <c r="P362" s="26">
        <v>1.129808902740479</v>
      </c>
    </row>
    <row r="363" spans="1:16" x14ac:dyDescent="0.3">
      <c r="A363" s="30" t="s">
        <v>364</v>
      </c>
      <c r="B363" s="3">
        <v>1261</v>
      </c>
      <c r="C363" s="2">
        <v>1153</v>
      </c>
      <c r="D363" s="19">
        <v>2.49912428855896</v>
      </c>
      <c r="E363" s="2">
        <v>1141</v>
      </c>
      <c r="F363" s="19">
        <v>2.0084841251373291</v>
      </c>
      <c r="G363" s="2">
        <v>1147</v>
      </c>
      <c r="H363" s="19">
        <v>1.492218017578125</v>
      </c>
      <c r="I363" s="14">
        <f t="shared" si="5"/>
        <v>8.5646312450436159</v>
      </c>
      <c r="J363" s="31"/>
      <c r="K363" s="25">
        <v>976.95673118578338</v>
      </c>
      <c r="L363" s="19">
        <v>1.234668493270874</v>
      </c>
      <c r="M363" s="23">
        <v>998.75202654828956</v>
      </c>
      <c r="N363" s="19">
        <v>1.352182149887085</v>
      </c>
      <c r="O363" s="23">
        <v>980.00872895039572</v>
      </c>
      <c r="P363" s="26">
        <v>1.172455310821533</v>
      </c>
    </row>
    <row r="364" spans="1:16" x14ac:dyDescent="0.3">
      <c r="A364" s="30" t="s">
        <v>365</v>
      </c>
      <c r="B364" s="3">
        <v>1261</v>
      </c>
      <c r="C364" s="2">
        <v>1150</v>
      </c>
      <c r="D364" s="19">
        <v>2.3091342449188228</v>
      </c>
      <c r="E364" s="2">
        <v>1157</v>
      </c>
      <c r="F364" s="19">
        <v>2.261027574539185</v>
      </c>
      <c r="G364" s="2">
        <v>1139</v>
      </c>
      <c r="H364" s="19">
        <v>1.353229761123657</v>
      </c>
      <c r="I364" s="14">
        <f t="shared" si="5"/>
        <v>8.2474226804123703</v>
      </c>
      <c r="J364" s="31"/>
      <c r="K364" s="25">
        <v>973.15414287943065</v>
      </c>
      <c r="L364" s="19">
        <v>1.195321798324585</v>
      </c>
      <c r="M364" s="23">
        <v>984.24665437734893</v>
      </c>
      <c r="N364" s="19">
        <v>1.337902307510376</v>
      </c>
      <c r="O364" s="23">
        <v>993.96244700557122</v>
      </c>
      <c r="P364" s="26">
        <v>1.1783556938171389</v>
      </c>
    </row>
    <row r="365" spans="1:16" x14ac:dyDescent="0.3">
      <c r="A365" s="30" t="s">
        <v>366</v>
      </c>
      <c r="B365" s="3">
        <v>1261</v>
      </c>
      <c r="C365" s="2">
        <v>1084</v>
      </c>
      <c r="D365" s="19">
        <v>2.087081670761108</v>
      </c>
      <c r="E365" s="2">
        <v>1098</v>
      </c>
      <c r="F365" s="19">
        <v>1.958411693572998</v>
      </c>
      <c r="G365" s="2">
        <v>1152</v>
      </c>
      <c r="H365" s="19">
        <v>1.4046921730041499</v>
      </c>
      <c r="I365" s="14">
        <f t="shared" si="5"/>
        <v>8.6439333862014269</v>
      </c>
      <c r="J365" s="31"/>
      <c r="K365" s="25">
        <v>949.90267534625934</v>
      </c>
      <c r="L365" s="19">
        <v>1.215340375900269</v>
      </c>
      <c r="M365" s="23">
        <v>979.05846157768156</v>
      </c>
      <c r="N365" s="19">
        <v>1.326597929000854</v>
      </c>
      <c r="O365" s="23">
        <v>971.07108131496057</v>
      </c>
      <c r="P365" s="26">
        <v>1.232618093490601</v>
      </c>
    </row>
    <row r="366" spans="1:16" x14ac:dyDescent="0.3">
      <c r="A366" s="30" t="s">
        <v>367</v>
      </c>
      <c r="B366" s="3">
        <v>1261</v>
      </c>
      <c r="C366" s="2">
        <v>1055</v>
      </c>
      <c r="D366" s="19">
        <v>2.4145288467407231</v>
      </c>
      <c r="E366" s="2">
        <v>1125</v>
      </c>
      <c r="F366" s="19">
        <v>2.1433231830596919</v>
      </c>
      <c r="G366" s="2">
        <v>1044</v>
      </c>
      <c r="H366" s="19">
        <v>1.3363099098205571</v>
      </c>
      <c r="I366" s="14">
        <f t="shared" si="5"/>
        <v>10.785091197462332</v>
      </c>
      <c r="J366" s="31"/>
      <c r="K366" s="25">
        <v>924.01927030969932</v>
      </c>
      <c r="L366" s="19">
        <v>1.2378907203674321</v>
      </c>
      <c r="M366" s="23">
        <v>934.77825741259176</v>
      </c>
      <c r="N366" s="19">
        <v>1.3208742141723631</v>
      </c>
      <c r="O366" s="23">
        <v>960.82220632070585</v>
      </c>
      <c r="P366" s="26">
        <v>1.1990270614624019</v>
      </c>
    </row>
    <row r="367" spans="1:16" x14ac:dyDescent="0.3">
      <c r="A367" s="30" t="s">
        <v>368</v>
      </c>
      <c r="B367" s="3">
        <v>1284</v>
      </c>
      <c r="C367" s="2">
        <v>1175</v>
      </c>
      <c r="D367" s="19">
        <v>2.0298624038696289</v>
      </c>
      <c r="E367" s="2">
        <v>1183</v>
      </c>
      <c r="F367" s="19">
        <v>1.8350048065185549</v>
      </c>
      <c r="G367" s="2">
        <v>1184</v>
      </c>
      <c r="H367" s="19">
        <v>1.247613668441772</v>
      </c>
      <c r="I367" s="14">
        <f t="shared" si="5"/>
        <v>7.7881619937694699</v>
      </c>
      <c r="J367" s="31"/>
      <c r="K367" s="25">
        <v>1016.060052014612</v>
      </c>
      <c r="L367" s="19">
        <v>1.0753777027130129</v>
      </c>
      <c r="M367" s="23">
        <v>1030.9643138835081</v>
      </c>
      <c r="N367" s="19">
        <v>1.1926534175872801</v>
      </c>
      <c r="O367" s="23">
        <v>1019.182156093211</v>
      </c>
      <c r="P367" s="26">
        <v>1.126634359359741</v>
      </c>
    </row>
    <row r="368" spans="1:16" x14ac:dyDescent="0.3">
      <c r="A368" s="30" t="s">
        <v>369</v>
      </c>
      <c r="B368" s="3">
        <v>1284</v>
      </c>
      <c r="C368" s="2">
        <v>1149</v>
      </c>
      <c r="D368" s="19">
        <v>1.8703844547271731</v>
      </c>
      <c r="E368" s="2">
        <v>1160</v>
      </c>
      <c r="F368" s="19">
        <v>1.8348731994628911</v>
      </c>
      <c r="G368" s="2">
        <v>1184</v>
      </c>
      <c r="H368" s="19">
        <v>1.270350456237793</v>
      </c>
      <c r="I368" s="14">
        <f t="shared" si="5"/>
        <v>7.7881619937694699</v>
      </c>
      <c r="J368" s="31"/>
      <c r="K368" s="25">
        <v>1000.12663163514</v>
      </c>
      <c r="L368" s="19">
        <v>1.1224067211151121</v>
      </c>
      <c r="M368" s="23">
        <v>1035.6997316818199</v>
      </c>
      <c r="N368" s="19">
        <v>1.352180480957031</v>
      </c>
      <c r="O368" s="23">
        <v>1005.277598959452</v>
      </c>
      <c r="P368" s="26">
        <v>1.1087663173675539</v>
      </c>
    </row>
    <row r="369" spans="1:16" x14ac:dyDescent="0.3">
      <c r="A369" s="30" t="s">
        <v>370</v>
      </c>
      <c r="B369" s="3">
        <v>1284</v>
      </c>
      <c r="C369" s="2">
        <v>1142</v>
      </c>
      <c r="D369" s="19">
        <v>1.73848032951355</v>
      </c>
      <c r="E369" s="2">
        <v>1146</v>
      </c>
      <c r="F369" s="19">
        <v>1.835096120834351</v>
      </c>
      <c r="G369" s="2">
        <v>1143</v>
      </c>
      <c r="H369" s="19">
        <v>1.2723548412323</v>
      </c>
      <c r="I369" s="14">
        <f t="shared" si="5"/>
        <v>10.747663551401869</v>
      </c>
      <c r="J369" s="31"/>
      <c r="K369" s="25">
        <v>1027.490167531088</v>
      </c>
      <c r="L369" s="19">
        <v>1.233310222625732</v>
      </c>
      <c r="M369" s="23">
        <v>991.868445464621</v>
      </c>
      <c r="N369" s="19">
        <v>1.2234973907470701</v>
      </c>
      <c r="O369" s="23">
        <v>997.40787590771538</v>
      </c>
      <c r="P369" s="26">
        <v>1.1028957366943359</v>
      </c>
    </row>
    <row r="370" spans="1:16" x14ac:dyDescent="0.3">
      <c r="A370" s="30" t="s">
        <v>371</v>
      </c>
      <c r="B370" s="3">
        <v>1284</v>
      </c>
      <c r="C370" s="2">
        <v>1177</v>
      </c>
      <c r="D370" s="19">
        <v>1.7920219898223879</v>
      </c>
      <c r="E370" s="2">
        <v>1180</v>
      </c>
      <c r="F370" s="19">
        <v>2.156859397888184</v>
      </c>
      <c r="G370" s="2">
        <v>1183</v>
      </c>
      <c r="H370" s="19">
        <v>1.2641341686248779</v>
      </c>
      <c r="I370" s="14">
        <f t="shared" si="5"/>
        <v>7.8660436137071645</v>
      </c>
      <c r="J370" s="31"/>
      <c r="K370" s="25">
        <v>1016.707635100669</v>
      </c>
      <c r="L370" s="19">
        <v>1.215877771377563</v>
      </c>
      <c r="M370" s="23">
        <v>1018.357856484967</v>
      </c>
      <c r="N370" s="19">
        <v>1.2579400539398189</v>
      </c>
      <c r="O370" s="23">
        <v>1012.53700312156</v>
      </c>
      <c r="P370" s="26">
        <v>1.105823755264282</v>
      </c>
    </row>
    <row r="371" spans="1:16" x14ac:dyDescent="0.3">
      <c r="A371" s="30" t="s">
        <v>372</v>
      </c>
      <c r="B371" s="3">
        <v>1284</v>
      </c>
      <c r="C371" s="2">
        <v>1172</v>
      </c>
      <c r="D371" s="19">
        <v>1.836746454238892</v>
      </c>
      <c r="E371" s="2">
        <v>1184</v>
      </c>
      <c r="F371" s="19">
        <v>1.839170455932617</v>
      </c>
      <c r="G371" s="2">
        <v>1171</v>
      </c>
      <c r="H371" s="19">
        <v>1.2882621288299561</v>
      </c>
      <c r="I371" s="14">
        <f t="shared" si="5"/>
        <v>7.7881619937694699</v>
      </c>
      <c r="J371" s="31"/>
      <c r="K371" s="25">
        <v>1004.9423837335989</v>
      </c>
      <c r="L371" s="19">
        <v>1.280994653701782</v>
      </c>
      <c r="M371" s="23">
        <v>1015.778860897402</v>
      </c>
      <c r="N371" s="19">
        <v>1.2051329612731929</v>
      </c>
      <c r="O371" s="23">
        <v>1002.0176666079579</v>
      </c>
      <c r="P371" s="26">
        <v>1.100092887878418</v>
      </c>
    </row>
    <row r="372" spans="1:16" x14ac:dyDescent="0.3">
      <c r="A372" s="30" t="s">
        <v>373</v>
      </c>
      <c r="B372" s="3">
        <v>1284</v>
      </c>
      <c r="C372" s="2">
        <v>1164</v>
      </c>
      <c r="D372" s="19">
        <v>1.832254886627197</v>
      </c>
      <c r="E372" s="2">
        <v>1168</v>
      </c>
      <c r="F372" s="19">
        <v>1.869161128997803</v>
      </c>
      <c r="G372" s="2">
        <v>1191</v>
      </c>
      <c r="H372" s="19">
        <v>1.339825391769409</v>
      </c>
      <c r="I372" s="14">
        <f t="shared" si="5"/>
        <v>7.2429906542056068</v>
      </c>
      <c r="J372" s="31"/>
      <c r="K372" s="25">
        <v>1007.915557853887</v>
      </c>
      <c r="L372" s="19">
        <v>1.262741327285767</v>
      </c>
      <c r="M372" s="23">
        <v>1050.1829835792371</v>
      </c>
      <c r="N372" s="19">
        <v>1.144605159759521</v>
      </c>
      <c r="O372" s="23">
        <v>1018.85293088531</v>
      </c>
      <c r="P372" s="26">
        <v>1.114997386932373</v>
      </c>
    </row>
    <row r="373" spans="1:16" x14ac:dyDescent="0.3">
      <c r="A373" s="30" t="s">
        <v>374</v>
      </c>
      <c r="B373" s="3">
        <v>1284</v>
      </c>
      <c r="C373" s="2">
        <v>1188</v>
      </c>
      <c r="D373" s="19">
        <v>3.027005672454834</v>
      </c>
      <c r="E373" s="2">
        <v>1200</v>
      </c>
      <c r="F373" s="19">
        <v>2.124785423278809</v>
      </c>
      <c r="G373" s="2">
        <v>1192</v>
      </c>
      <c r="H373" s="19">
        <v>1.389970541000366</v>
      </c>
      <c r="I373" s="14">
        <f t="shared" si="5"/>
        <v>6.5420560747663545</v>
      </c>
      <c r="J373" s="31"/>
      <c r="K373" s="25">
        <v>1022.15444589812</v>
      </c>
      <c r="L373" s="19">
        <v>1.297493696212769</v>
      </c>
      <c r="M373" s="23">
        <v>1016.959713108842</v>
      </c>
      <c r="N373" s="19">
        <v>1.219605684280396</v>
      </c>
      <c r="O373" s="23">
        <v>1026.8734371026369</v>
      </c>
      <c r="P373" s="26">
        <v>1.1777083873748779</v>
      </c>
    </row>
    <row r="374" spans="1:16" x14ac:dyDescent="0.3">
      <c r="A374" s="30" t="s">
        <v>375</v>
      </c>
      <c r="B374" s="3">
        <v>1284</v>
      </c>
      <c r="C374" s="2">
        <v>1158</v>
      </c>
      <c r="D374" s="19">
        <v>2.8212883472442631</v>
      </c>
      <c r="E374" s="2">
        <v>1192</v>
      </c>
      <c r="F374" s="19">
        <v>2.68928074836731</v>
      </c>
      <c r="G374" s="2">
        <v>1174</v>
      </c>
      <c r="H374" s="19">
        <v>1.413469552993774</v>
      </c>
      <c r="I374" s="14">
        <f t="shared" si="5"/>
        <v>7.1651090342679122</v>
      </c>
      <c r="J374" s="31"/>
      <c r="K374" s="25">
        <v>1000.593766280131</v>
      </c>
      <c r="L374" s="19">
        <v>1.317359924316406</v>
      </c>
      <c r="M374" s="23">
        <v>1029.418993052725</v>
      </c>
      <c r="N374" s="19">
        <v>1.234250545501709</v>
      </c>
      <c r="O374" s="23">
        <v>999.64045571737995</v>
      </c>
      <c r="P374" s="26">
        <v>1.1965422630310061</v>
      </c>
    </row>
    <row r="375" spans="1:16" x14ac:dyDescent="0.3">
      <c r="A375" s="30" t="s">
        <v>376</v>
      </c>
      <c r="B375" s="3">
        <v>1284</v>
      </c>
      <c r="C375" s="2">
        <v>1143</v>
      </c>
      <c r="D375" s="19">
        <v>2.685225248336792</v>
      </c>
      <c r="E375" s="2">
        <v>1186</v>
      </c>
      <c r="F375" s="19">
        <v>3.0616211891174321</v>
      </c>
      <c r="G375" s="2">
        <v>1179</v>
      </c>
      <c r="H375" s="19">
        <v>1.445731401443481</v>
      </c>
      <c r="I375" s="14">
        <f t="shared" si="5"/>
        <v>7.6323987538940807</v>
      </c>
      <c r="J375" s="31"/>
      <c r="K375" s="25">
        <v>1006.612059346015</v>
      </c>
      <c r="L375" s="19">
        <v>1.2979998588562009</v>
      </c>
      <c r="M375" s="23">
        <v>1014.836740890029</v>
      </c>
      <c r="N375" s="19">
        <v>1.4410607814788821</v>
      </c>
      <c r="O375" s="23">
        <v>1021.580610957426</v>
      </c>
      <c r="P375" s="26">
        <v>1.218366861343384</v>
      </c>
    </row>
    <row r="376" spans="1:16" x14ac:dyDescent="0.3">
      <c r="A376" s="30" t="s">
        <v>377</v>
      </c>
      <c r="B376" s="3">
        <v>1284</v>
      </c>
      <c r="C376" s="2">
        <v>1130</v>
      </c>
      <c r="D376" s="19">
        <v>3.047357559204102</v>
      </c>
      <c r="E376" s="2">
        <v>1163</v>
      </c>
      <c r="F376" s="19">
        <v>2.3373663425445561</v>
      </c>
      <c r="G376" s="2">
        <v>1180</v>
      </c>
      <c r="H376" s="19">
        <v>1.5197427272796631</v>
      </c>
      <c r="I376" s="14">
        <f t="shared" si="5"/>
        <v>8.0996884735202492</v>
      </c>
      <c r="J376" s="31"/>
      <c r="K376" s="25">
        <v>1029.393408474142</v>
      </c>
      <c r="L376" s="19">
        <v>1.278671026229858</v>
      </c>
      <c r="M376" s="23">
        <v>1044.3045598742981</v>
      </c>
      <c r="N376" s="19">
        <v>1.423880338668823</v>
      </c>
      <c r="O376" s="23">
        <v>1019.184338181288</v>
      </c>
      <c r="P376" s="26">
        <v>1.2728457450866699</v>
      </c>
    </row>
    <row r="377" spans="1:16" x14ac:dyDescent="0.3">
      <c r="A377" s="30" t="s">
        <v>378</v>
      </c>
      <c r="B377" s="3">
        <v>1284</v>
      </c>
      <c r="C377" s="2">
        <v>1092</v>
      </c>
      <c r="D377" s="19">
        <v>2.1809370517730708</v>
      </c>
      <c r="E377" s="2">
        <v>1147</v>
      </c>
      <c r="F377" s="19">
        <v>2.733674049377441</v>
      </c>
      <c r="G377" s="2">
        <v>1215</v>
      </c>
      <c r="H377" s="19">
        <v>1.4635496139526369</v>
      </c>
      <c r="I377" s="14">
        <f t="shared" si="5"/>
        <v>5.3738317757009346</v>
      </c>
      <c r="J377" s="31"/>
      <c r="K377" s="25">
        <v>932.77764801095009</v>
      </c>
      <c r="L377" s="19">
        <v>1.3210046291351321</v>
      </c>
      <c r="M377" s="23">
        <v>941.67412124112798</v>
      </c>
      <c r="N377" s="19">
        <v>1.352388858795166</v>
      </c>
      <c r="O377" s="23">
        <v>894.71594636972827</v>
      </c>
      <c r="P377" s="26">
        <v>1.2435638904571531</v>
      </c>
    </row>
    <row r="378" spans="1:16" x14ac:dyDescent="0.3">
      <c r="A378" s="30" t="s">
        <v>379</v>
      </c>
      <c r="B378" s="3">
        <v>1306</v>
      </c>
      <c r="C378" s="2">
        <v>1242</v>
      </c>
      <c r="D378" s="19">
        <v>2.1671509742736821</v>
      </c>
      <c r="E378" s="2">
        <v>1250</v>
      </c>
      <c r="F378" s="19">
        <v>2.338927030563354</v>
      </c>
      <c r="G378" s="2">
        <v>1229</v>
      </c>
      <c r="H378" s="19">
        <v>1.319089889526367</v>
      </c>
      <c r="I378" s="14">
        <f t="shared" si="5"/>
        <v>4.2879019908116387</v>
      </c>
      <c r="J378" s="31"/>
      <c r="K378" s="25">
        <v>1073.96165676141</v>
      </c>
      <c r="L378" s="19">
        <v>1.2602546215057371</v>
      </c>
      <c r="M378" s="23">
        <v>1063.2485825222641</v>
      </c>
      <c r="N378" s="19">
        <v>1.2250242233276369</v>
      </c>
      <c r="O378" s="23">
        <v>1053.298478289634</v>
      </c>
      <c r="P378" s="26">
        <v>1.1354246139526369</v>
      </c>
    </row>
    <row r="379" spans="1:16" x14ac:dyDescent="0.3">
      <c r="A379" s="30" t="s">
        <v>380</v>
      </c>
      <c r="B379" s="3">
        <v>1306</v>
      </c>
      <c r="C379" s="2">
        <v>1248</v>
      </c>
      <c r="D379" s="19">
        <v>2.7716977596282959</v>
      </c>
      <c r="E379" s="2">
        <v>1238</v>
      </c>
      <c r="F379" s="19">
        <v>3.1225302219390869</v>
      </c>
      <c r="G379" s="2">
        <v>1228</v>
      </c>
      <c r="H379" s="19">
        <v>1.33656907081604</v>
      </c>
      <c r="I379" s="14">
        <f t="shared" si="5"/>
        <v>4.4410413476263404</v>
      </c>
      <c r="J379" s="31"/>
      <c r="K379" s="25">
        <v>1057.385087972048</v>
      </c>
      <c r="L379" s="19">
        <v>1.2783722877502439</v>
      </c>
      <c r="M379" s="23">
        <v>1046.7214263546371</v>
      </c>
      <c r="N379" s="19">
        <v>1.1633157730102539</v>
      </c>
      <c r="O379" s="23">
        <v>1034.5412130328759</v>
      </c>
      <c r="P379" s="26">
        <v>1.1446347236633301</v>
      </c>
    </row>
    <row r="380" spans="1:16" x14ac:dyDescent="0.3">
      <c r="A380" s="30" t="s">
        <v>381</v>
      </c>
      <c r="B380" s="3">
        <v>1306</v>
      </c>
      <c r="C380" s="2">
        <v>1237</v>
      </c>
      <c r="D380" s="19">
        <v>2.2588515281677251</v>
      </c>
      <c r="E380" s="2">
        <v>1242</v>
      </c>
      <c r="F380" s="19">
        <v>2.463942289352417</v>
      </c>
      <c r="G380" s="2">
        <v>1218</v>
      </c>
      <c r="H380" s="19">
        <v>1.3309671878814699</v>
      </c>
      <c r="I380" s="14">
        <f t="shared" si="5"/>
        <v>4.9004594180704446</v>
      </c>
      <c r="J380" s="31"/>
      <c r="K380" s="25">
        <v>1065.362245401808</v>
      </c>
      <c r="L380" s="19">
        <v>1.3225100040435791</v>
      </c>
      <c r="M380" s="23">
        <v>1057.237656574229</v>
      </c>
      <c r="N380" s="19">
        <v>1.184945344924927</v>
      </c>
      <c r="O380" s="23">
        <v>1033.623413853172</v>
      </c>
      <c r="P380" s="26">
        <v>1.1639642715454099</v>
      </c>
    </row>
    <row r="381" spans="1:16" x14ac:dyDescent="0.3">
      <c r="A381" s="30" t="s">
        <v>382</v>
      </c>
      <c r="B381" s="3">
        <v>1306</v>
      </c>
      <c r="C381" s="2">
        <v>1244</v>
      </c>
      <c r="D381" s="19">
        <v>2.0475413799285889</v>
      </c>
      <c r="E381" s="2">
        <v>1255</v>
      </c>
      <c r="F381" s="19">
        <v>2.3794164657592769</v>
      </c>
      <c r="G381" s="2">
        <v>1232</v>
      </c>
      <c r="H381" s="19">
        <v>1.350553512573242</v>
      </c>
      <c r="I381" s="14">
        <f t="shared" si="5"/>
        <v>3.9050535987748853</v>
      </c>
      <c r="J381" s="31"/>
      <c r="K381" s="25">
        <v>1055.256363407156</v>
      </c>
      <c r="L381" s="19">
        <v>1.263808012008667</v>
      </c>
      <c r="M381" s="23">
        <v>1058.682353540775</v>
      </c>
      <c r="N381" s="19">
        <v>1.157157421112061</v>
      </c>
      <c r="O381" s="23">
        <v>1049.499454682239</v>
      </c>
      <c r="P381" s="26">
        <v>1.1469733715057371</v>
      </c>
    </row>
    <row r="382" spans="1:16" x14ac:dyDescent="0.3">
      <c r="A382" s="30" t="s">
        <v>383</v>
      </c>
      <c r="B382" s="3">
        <v>1306</v>
      </c>
      <c r="C382" s="2">
        <v>1233</v>
      </c>
      <c r="D382" s="19">
        <v>1.9912557601928711</v>
      </c>
      <c r="E382" s="2">
        <v>1232</v>
      </c>
      <c r="F382" s="19">
        <v>2.6346745491027832</v>
      </c>
      <c r="G382" s="2">
        <v>1227</v>
      </c>
      <c r="H382" s="19">
        <v>1.3783140182495119</v>
      </c>
      <c r="I382" s="14">
        <f t="shared" si="5"/>
        <v>5.5895865237366005</v>
      </c>
      <c r="J382" s="31"/>
      <c r="K382" s="25">
        <v>1070.2737787900651</v>
      </c>
      <c r="L382" s="19">
        <v>1.3024764060974121</v>
      </c>
      <c r="M382" s="23">
        <v>1070.1024189551961</v>
      </c>
      <c r="N382" s="19">
        <v>1.165753841400146</v>
      </c>
      <c r="O382" s="23">
        <v>1044.620633433484</v>
      </c>
      <c r="P382" s="26">
        <v>1.17198634147644</v>
      </c>
    </row>
    <row r="383" spans="1:16" x14ac:dyDescent="0.3">
      <c r="A383" s="30" t="s">
        <v>384</v>
      </c>
      <c r="B383" s="3">
        <v>1306</v>
      </c>
      <c r="C383" s="2">
        <v>1229</v>
      </c>
      <c r="D383" s="19">
        <v>2.043512105941772</v>
      </c>
      <c r="E383" s="2">
        <v>1232</v>
      </c>
      <c r="F383" s="19">
        <v>2.380651473999023</v>
      </c>
      <c r="G383" s="2">
        <v>1238</v>
      </c>
      <c r="H383" s="19">
        <v>1.39311146736145</v>
      </c>
      <c r="I383" s="14">
        <f t="shared" si="5"/>
        <v>5.2067381316998471</v>
      </c>
      <c r="J383" s="31"/>
      <c r="K383" s="25">
        <v>1043.0257379623019</v>
      </c>
      <c r="L383" s="19">
        <v>1.348814964294434</v>
      </c>
      <c r="M383" s="23">
        <v>1048.917212158424</v>
      </c>
      <c r="N383" s="19">
        <v>1.229349613189697</v>
      </c>
      <c r="O383" s="23">
        <v>1056.0749058739109</v>
      </c>
      <c r="P383" s="26">
        <v>1.2000560760498049</v>
      </c>
    </row>
    <row r="384" spans="1:16" x14ac:dyDescent="0.3">
      <c r="A384" s="30" t="s">
        <v>385</v>
      </c>
      <c r="B384" s="3">
        <v>1306</v>
      </c>
      <c r="C384" s="2">
        <v>1243</v>
      </c>
      <c r="D384" s="19">
        <v>2.4374549388885498</v>
      </c>
      <c r="E384" s="2">
        <v>1247</v>
      </c>
      <c r="F384" s="19">
        <v>2.4337220191955571</v>
      </c>
      <c r="G384" s="2">
        <v>1231</v>
      </c>
      <c r="H384" s="19">
        <v>1.4653060436248779</v>
      </c>
      <c r="I384" s="14">
        <f t="shared" si="5"/>
        <v>4.5176110260336904</v>
      </c>
      <c r="J384" s="31"/>
      <c r="K384" s="25">
        <v>1055.907602758881</v>
      </c>
      <c r="L384" s="19">
        <v>1.3599903583526609</v>
      </c>
      <c r="M384" s="23">
        <v>1061.6053230062321</v>
      </c>
      <c r="N384" s="19">
        <v>1.231409072875977</v>
      </c>
      <c r="O384" s="23">
        <v>1027.710929633238</v>
      </c>
      <c r="P384" s="26">
        <v>1.236087322235107</v>
      </c>
    </row>
    <row r="385" spans="1:16" x14ac:dyDescent="0.3">
      <c r="A385" s="30" t="s">
        <v>386</v>
      </c>
      <c r="B385" s="3">
        <v>1306</v>
      </c>
      <c r="C385" s="2">
        <v>1239</v>
      </c>
      <c r="D385" s="19">
        <v>2.6347625255584721</v>
      </c>
      <c r="E385" s="2">
        <v>1235</v>
      </c>
      <c r="F385" s="19">
        <v>2.265070915222168</v>
      </c>
      <c r="G385" s="2">
        <v>1230</v>
      </c>
      <c r="H385" s="19">
        <v>1.4858484268188481</v>
      </c>
      <c r="I385" s="14">
        <f t="shared" si="5"/>
        <v>5.1301684532924963</v>
      </c>
      <c r="J385" s="31"/>
      <c r="K385" s="25">
        <v>1051.082571263099</v>
      </c>
      <c r="L385" s="19">
        <v>1.3098394870758061</v>
      </c>
      <c r="M385" s="23">
        <v>1050.919588044105</v>
      </c>
      <c r="N385" s="19">
        <v>1.2650735378265381</v>
      </c>
      <c r="O385" s="23">
        <v>1025.6240269288039</v>
      </c>
      <c r="P385" s="26">
        <v>1.3874168395996089</v>
      </c>
    </row>
    <row r="386" spans="1:16" x14ac:dyDescent="0.3">
      <c r="A386" s="30" t="s">
        <v>387</v>
      </c>
      <c r="B386" s="3">
        <v>1306</v>
      </c>
      <c r="C386" s="2">
        <v>1229</v>
      </c>
      <c r="D386" s="19">
        <v>3.140428781509399</v>
      </c>
      <c r="E386" s="2">
        <v>1229</v>
      </c>
      <c r="F386" s="19">
        <v>3.202512264251709</v>
      </c>
      <c r="G386" s="2">
        <v>1234</v>
      </c>
      <c r="H386" s="19">
        <v>1.54778528213501</v>
      </c>
      <c r="I386" s="14">
        <f t="shared" si="5"/>
        <v>5.5130168453292496</v>
      </c>
      <c r="J386" s="31"/>
      <c r="K386" s="25">
        <v>1060.5302483157079</v>
      </c>
      <c r="L386" s="19">
        <v>1.353152990341187</v>
      </c>
      <c r="M386" s="23">
        <v>1055.0545617233081</v>
      </c>
      <c r="N386" s="19">
        <v>1.315386056900024</v>
      </c>
      <c r="O386" s="23">
        <v>1026.6137933836001</v>
      </c>
      <c r="P386" s="26">
        <v>1.3881673812866211</v>
      </c>
    </row>
    <row r="387" spans="1:16" x14ac:dyDescent="0.3">
      <c r="A387" s="30" t="s">
        <v>388</v>
      </c>
      <c r="B387" s="3">
        <v>1306</v>
      </c>
      <c r="C387" s="2">
        <v>1219</v>
      </c>
      <c r="D387" s="19">
        <v>2.6709926128387451</v>
      </c>
      <c r="E387" s="2">
        <v>1221</v>
      </c>
      <c r="F387" s="19">
        <v>3.36139965057373</v>
      </c>
      <c r="G387" s="2">
        <v>1210</v>
      </c>
      <c r="H387" s="19">
        <v>1.5219089984893801</v>
      </c>
      <c r="I387" s="14">
        <f t="shared" si="5"/>
        <v>6.5084226646248089</v>
      </c>
      <c r="J387" s="31"/>
      <c r="K387" s="25">
        <v>1053.987768407959</v>
      </c>
      <c r="L387" s="19">
        <v>1.514141798019409</v>
      </c>
      <c r="M387" s="23">
        <v>1033.4185021532639</v>
      </c>
      <c r="N387" s="19">
        <v>1.4029777050018311</v>
      </c>
      <c r="O387" s="23">
        <v>1021.362921581412</v>
      </c>
      <c r="P387" s="26">
        <v>1.4754858016967769</v>
      </c>
    </row>
    <row r="388" spans="1:16" x14ac:dyDescent="0.3">
      <c r="A388" s="30" t="s">
        <v>389</v>
      </c>
      <c r="B388" s="3">
        <v>1306</v>
      </c>
      <c r="C388" s="2">
        <v>1180</v>
      </c>
      <c r="D388" s="19">
        <v>2.2779102325439449</v>
      </c>
      <c r="E388" s="2">
        <v>1216</v>
      </c>
      <c r="F388" s="19">
        <v>2.3324036598205571</v>
      </c>
      <c r="G388" s="2">
        <v>1201</v>
      </c>
      <c r="H388" s="19">
        <v>1.5555076599121089</v>
      </c>
      <c r="I388" s="14">
        <f t="shared" ref="I388:I398" si="6">((B388-MAX(C388,E388,G388))/B388)*100</f>
        <v>6.8912710566615614</v>
      </c>
      <c r="J388" s="31"/>
      <c r="K388" s="25">
        <v>1046.7330783214391</v>
      </c>
      <c r="L388" s="19">
        <v>1.403303861618042</v>
      </c>
      <c r="M388" s="23">
        <v>1026.419126298925</v>
      </c>
      <c r="N388" s="19">
        <v>1.356372117996216</v>
      </c>
      <c r="O388" s="23">
        <v>1024.598448624839</v>
      </c>
      <c r="P388" s="26">
        <v>1.448816061019897</v>
      </c>
    </row>
    <row r="389" spans="1:16" x14ac:dyDescent="0.3">
      <c r="A389" s="30" t="s">
        <v>390</v>
      </c>
      <c r="B389" s="3">
        <v>181</v>
      </c>
      <c r="C389" s="2">
        <v>181</v>
      </c>
      <c r="D389" s="19">
        <v>0.34199213981628418</v>
      </c>
      <c r="E389" s="2">
        <v>181</v>
      </c>
      <c r="F389" s="19">
        <v>0.3141789436340332</v>
      </c>
      <c r="G389" s="2">
        <v>181</v>
      </c>
      <c r="H389" s="19">
        <v>0.2219851016998291</v>
      </c>
      <c r="I389" s="14">
        <f t="shared" si="6"/>
        <v>0</v>
      </c>
      <c r="J389" s="31"/>
      <c r="K389" s="25">
        <v>122.2120519061869</v>
      </c>
      <c r="L389" s="19">
        <v>0.2243998050689697</v>
      </c>
      <c r="M389" s="23">
        <v>122.2120519061869</v>
      </c>
      <c r="N389" s="19">
        <v>0.21841549873352051</v>
      </c>
      <c r="O389" s="23">
        <v>131.13457918992421</v>
      </c>
      <c r="P389" s="26">
        <v>0.25205278396606451</v>
      </c>
    </row>
    <row r="390" spans="1:16" x14ac:dyDescent="0.3">
      <c r="A390" s="30" t="s">
        <v>391</v>
      </c>
      <c r="B390" s="3">
        <v>181</v>
      </c>
      <c r="C390" s="2">
        <v>121</v>
      </c>
      <c r="D390" s="19">
        <v>0.48295140266418463</v>
      </c>
      <c r="E390" s="2">
        <v>152</v>
      </c>
      <c r="F390" s="19">
        <v>0.3115532398223877</v>
      </c>
      <c r="G390" s="2">
        <v>152</v>
      </c>
      <c r="H390" s="19">
        <v>0.21941256523132319</v>
      </c>
      <c r="I390" s="14">
        <f t="shared" si="6"/>
        <v>16.022099447513813</v>
      </c>
      <c r="J390" s="31"/>
      <c r="K390" s="25">
        <v>68.104218147353507</v>
      </c>
      <c r="L390" s="19">
        <v>0.25032949447631841</v>
      </c>
      <c r="M390" s="23">
        <v>75.189847510052402</v>
      </c>
      <c r="N390" s="19">
        <v>0.22938656806945801</v>
      </c>
      <c r="O390" s="23">
        <v>104.8134369016899</v>
      </c>
      <c r="P390" s="26">
        <v>0.31715130805969238</v>
      </c>
    </row>
    <row r="391" spans="1:16" x14ac:dyDescent="0.3">
      <c r="A391" s="30" t="s">
        <v>392</v>
      </c>
      <c r="B391" s="3">
        <v>181</v>
      </c>
      <c r="C391" s="2">
        <v>150</v>
      </c>
      <c r="D391" s="19">
        <v>0.54457521438598633</v>
      </c>
      <c r="E391" s="2">
        <v>142</v>
      </c>
      <c r="F391" s="19">
        <v>0.39057469367980963</v>
      </c>
      <c r="G391" s="2">
        <v>181</v>
      </c>
      <c r="H391" s="19">
        <v>0.26429224014282232</v>
      </c>
      <c r="I391" s="14">
        <f t="shared" si="6"/>
        <v>0</v>
      </c>
      <c r="J391" s="31"/>
      <c r="K391" s="25">
        <v>80.413123002811886</v>
      </c>
      <c r="L391" s="19">
        <v>0.27483725547790527</v>
      </c>
      <c r="M391" s="23">
        <v>53.461377998795641</v>
      </c>
      <c r="N391" s="19">
        <v>0.27925276756286621</v>
      </c>
      <c r="O391" s="23">
        <v>53.461377998795641</v>
      </c>
      <c r="P391" s="26">
        <v>0.27127385139465332</v>
      </c>
    </row>
    <row r="392" spans="1:16" x14ac:dyDescent="0.3">
      <c r="A392" s="30" t="s">
        <v>393</v>
      </c>
      <c r="B392" s="3">
        <v>181</v>
      </c>
      <c r="C392" s="2">
        <v>142</v>
      </c>
      <c r="D392" s="19">
        <v>0.37779045104980469</v>
      </c>
      <c r="E392" s="2">
        <v>152</v>
      </c>
      <c r="F392" s="19">
        <v>0.35904502868652338</v>
      </c>
      <c r="G392" s="2">
        <v>142</v>
      </c>
      <c r="H392" s="19">
        <v>0.25033044815063482</v>
      </c>
      <c r="I392" s="14">
        <f t="shared" si="6"/>
        <v>16.022099447513813</v>
      </c>
      <c r="J392" s="31"/>
      <c r="K392" s="25">
        <v>83.912714096595948</v>
      </c>
      <c r="L392" s="19">
        <v>0.25958037376403809</v>
      </c>
      <c r="M392" s="23">
        <v>87.124512775195299</v>
      </c>
      <c r="N392" s="19">
        <v>0.24733853340148931</v>
      </c>
      <c r="O392" s="23">
        <v>106.5573532237068</v>
      </c>
      <c r="P392" s="26">
        <v>0.30525636672973627</v>
      </c>
    </row>
    <row r="393" spans="1:16" x14ac:dyDescent="0.3">
      <c r="A393" s="30" t="s">
        <v>394</v>
      </c>
      <c r="B393" s="3">
        <v>181</v>
      </c>
      <c r="C393" s="2">
        <v>125</v>
      </c>
      <c r="D393" s="19">
        <v>0.4886329174041748</v>
      </c>
      <c r="E393" s="2">
        <v>152</v>
      </c>
      <c r="F393" s="19">
        <v>0.4152216911315918</v>
      </c>
      <c r="G393" s="2">
        <v>159</v>
      </c>
      <c r="H393" s="19">
        <v>0.28241467475891108</v>
      </c>
      <c r="I393" s="14">
        <f t="shared" si="6"/>
        <v>12.154696132596685</v>
      </c>
      <c r="J393" s="31"/>
      <c r="K393" s="25">
        <v>58.079782181767193</v>
      </c>
      <c r="L393" s="19">
        <v>0.28124594688415527</v>
      </c>
      <c r="M393" s="23">
        <v>58.079782181767193</v>
      </c>
      <c r="N393" s="19">
        <v>0.26329588890075678</v>
      </c>
      <c r="O393" s="23">
        <v>58.079782181767193</v>
      </c>
      <c r="P393" s="26">
        <v>0.26628804206848139</v>
      </c>
    </row>
    <row r="394" spans="1:16" x14ac:dyDescent="0.3">
      <c r="A394" s="30" t="s">
        <v>395</v>
      </c>
      <c r="B394" s="3">
        <v>243</v>
      </c>
      <c r="C394" s="2">
        <v>219</v>
      </c>
      <c r="D394" s="19">
        <v>0.41315317153930659</v>
      </c>
      <c r="E394" s="2">
        <v>216</v>
      </c>
      <c r="F394" s="19">
        <v>0.35440897941589361</v>
      </c>
      <c r="G394" s="2">
        <v>243</v>
      </c>
      <c r="H394" s="19">
        <v>0.25930619239807129</v>
      </c>
      <c r="I394" s="14">
        <f t="shared" si="6"/>
        <v>0</v>
      </c>
      <c r="J394" s="31"/>
      <c r="K394" s="25">
        <v>167.82379571898679</v>
      </c>
      <c r="L394" s="19">
        <v>0.2513267993927002</v>
      </c>
      <c r="M394" s="23">
        <v>171.90300336730161</v>
      </c>
      <c r="N394" s="19">
        <v>0.25332260131835938</v>
      </c>
      <c r="O394" s="23">
        <v>169.67558295225481</v>
      </c>
      <c r="P394" s="26">
        <v>0.32113504409790039</v>
      </c>
    </row>
    <row r="395" spans="1:16" x14ac:dyDescent="0.3">
      <c r="A395" s="30" t="s">
        <v>396</v>
      </c>
      <c r="B395" s="3">
        <v>243</v>
      </c>
      <c r="C395" s="2">
        <v>205</v>
      </c>
      <c r="D395" s="19">
        <v>0.45478320121765142</v>
      </c>
      <c r="E395" s="2">
        <v>198</v>
      </c>
      <c r="F395" s="19">
        <v>0.6485435962677002</v>
      </c>
      <c r="G395" s="2">
        <v>204</v>
      </c>
      <c r="H395" s="19">
        <v>0.24135351181030271</v>
      </c>
      <c r="I395" s="14">
        <f t="shared" si="6"/>
        <v>15.637860082304528</v>
      </c>
      <c r="J395" s="31"/>
      <c r="K395" s="25">
        <v>102.9551561123243</v>
      </c>
      <c r="L395" s="19">
        <v>0.25147223472595209</v>
      </c>
      <c r="M395" s="23">
        <v>64.397173458926801</v>
      </c>
      <c r="N395" s="19">
        <v>0.23237752914428711</v>
      </c>
      <c r="O395" s="23">
        <v>103.94361193546059</v>
      </c>
      <c r="P395" s="26">
        <v>0.22654485702514651</v>
      </c>
    </row>
    <row r="396" spans="1:16" x14ac:dyDescent="0.3">
      <c r="A396" s="30" t="s">
        <v>397</v>
      </c>
      <c r="B396" s="3">
        <v>243</v>
      </c>
      <c r="C396" s="2">
        <v>142</v>
      </c>
      <c r="D396" s="19">
        <v>0.54517149925231934</v>
      </c>
      <c r="E396" s="2">
        <v>216</v>
      </c>
      <c r="F396" s="19">
        <v>0.53155517578125</v>
      </c>
      <c r="G396" s="2">
        <v>216</v>
      </c>
      <c r="H396" s="19">
        <v>0.2732691764831543</v>
      </c>
      <c r="I396" s="14">
        <f t="shared" si="6"/>
        <v>11.111111111111111</v>
      </c>
      <c r="J396" s="31"/>
      <c r="K396" s="25">
        <v>63.337152472970892</v>
      </c>
      <c r="L396" s="19">
        <v>0.3112032413482666</v>
      </c>
      <c r="M396" s="23">
        <v>63.337152472970892</v>
      </c>
      <c r="N396" s="19">
        <v>0.26828217506408691</v>
      </c>
      <c r="O396" s="23">
        <v>63.337152472970892</v>
      </c>
      <c r="P396" s="26">
        <v>0.34328651428222662</v>
      </c>
    </row>
    <row r="397" spans="1:16" x14ac:dyDescent="0.3">
      <c r="A397" s="30" t="s">
        <v>398</v>
      </c>
      <c r="B397" s="3">
        <v>243</v>
      </c>
      <c r="C397" s="2">
        <v>152</v>
      </c>
      <c r="D397" s="19">
        <v>0.46876883506774902</v>
      </c>
      <c r="E397" s="2">
        <v>191</v>
      </c>
      <c r="F397" s="19">
        <v>0.417327880859375</v>
      </c>
      <c r="G397" s="2">
        <v>213</v>
      </c>
      <c r="H397" s="19">
        <v>0.26784777641296392</v>
      </c>
      <c r="I397" s="14">
        <f t="shared" si="6"/>
        <v>12.345679012345679</v>
      </c>
      <c r="J397" s="31"/>
      <c r="K397" s="25">
        <v>112.0777358510725</v>
      </c>
      <c r="L397" s="19">
        <v>0.2622981071472168</v>
      </c>
      <c r="M397" s="23">
        <v>96.561934053095712</v>
      </c>
      <c r="N397" s="19">
        <v>0.24733877182006839</v>
      </c>
      <c r="O397" s="23">
        <v>144.4041801920518</v>
      </c>
      <c r="P397" s="26">
        <v>0.25232458114624018</v>
      </c>
    </row>
    <row r="398" spans="1:16" ht="15" thickBot="1" x14ac:dyDescent="0.35">
      <c r="A398" s="30" t="s">
        <v>399</v>
      </c>
      <c r="B398" s="3">
        <v>243</v>
      </c>
      <c r="C398" s="2">
        <v>205</v>
      </c>
      <c r="D398" s="19">
        <v>0.55317783355712891</v>
      </c>
      <c r="E398" s="2">
        <v>216</v>
      </c>
      <c r="F398" s="19">
        <v>0.50607752799987793</v>
      </c>
      <c r="G398" s="2">
        <v>221</v>
      </c>
      <c r="H398" s="19">
        <v>0.2982022762298584</v>
      </c>
      <c r="I398" s="15">
        <f t="shared" si="6"/>
        <v>9.0534979423868318</v>
      </c>
      <c r="J398" s="31"/>
      <c r="K398" s="27">
        <v>68.674550908322331</v>
      </c>
      <c r="L398" s="20">
        <v>0.29620742797851563</v>
      </c>
      <c r="M398" s="28">
        <v>60.216183832003537</v>
      </c>
      <c r="N398" s="20">
        <v>0.29122090339660639</v>
      </c>
      <c r="O398" s="28">
        <v>156.54507473756951</v>
      </c>
      <c r="P398" s="29">
        <v>0.29421257972717291</v>
      </c>
    </row>
    <row r="399" spans="1:16" ht="27.6" customHeight="1" thickBot="1" x14ac:dyDescent="0.35">
      <c r="A399" s="35" t="s">
        <v>400</v>
      </c>
      <c r="B399" s="7"/>
      <c r="C399" s="21"/>
      <c r="D399" s="21">
        <f>AVERAGE(D4:D398)</f>
        <v>0.95281005569651156</v>
      </c>
      <c r="E399" s="8"/>
      <c r="F399" s="22">
        <f>AVERAGE(F4:F398)</f>
        <v>0.8897393806071221</v>
      </c>
      <c r="G399" s="8"/>
      <c r="H399" s="22">
        <f>AVERAGE(H4:H398)</f>
        <v>0.70853597604775731</v>
      </c>
      <c r="I399" s="22">
        <f>AVERAGE(I4:I398)</f>
        <v>9.7474036558188821</v>
      </c>
      <c r="K399" s="8"/>
      <c r="L399" s="12">
        <f>AVERAGE(L4:L398)</f>
        <v>0.62132501783250249</v>
      </c>
      <c r="M399" s="12"/>
      <c r="N399" s="12">
        <f>AVERAGE(N4:N398)</f>
        <v>0.59837937294682375</v>
      </c>
      <c r="O399" s="12"/>
      <c r="P399" s="12">
        <f>AVERAGE(P4:P398)</f>
        <v>0.58507909955857673</v>
      </c>
    </row>
    <row r="402" spans="2:14" ht="15" thickBot="1" x14ac:dyDescent="0.35"/>
    <row r="403" spans="2:14" ht="15" thickBot="1" x14ac:dyDescent="0.35">
      <c r="B403" s="58" t="s">
        <v>400</v>
      </c>
      <c r="C403" s="61" t="s">
        <v>412</v>
      </c>
      <c r="D403" s="62"/>
      <c r="E403" s="61" t="s">
        <v>413</v>
      </c>
      <c r="F403" s="63"/>
      <c r="G403" s="61" t="s">
        <v>414</v>
      </c>
      <c r="H403" s="62"/>
    </row>
    <row r="404" spans="2:14" ht="15" thickBot="1" x14ac:dyDescent="0.35">
      <c r="B404" s="59"/>
      <c r="C404" s="32" t="s">
        <v>407</v>
      </c>
      <c r="D404" s="34" t="s">
        <v>408</v>
      </c>
      <c r="E404" s="33" t="s">
        <v>407</v>
      </c>
      <c r="F404" s="33" t="s">
        <v>408</v>
      </c>
      <c r="G404" s="32" t="s">
        <v>407</v>
      </c>
      <c r="H404" s="34" t="s">
        <v>408</v>
      </c>
    </row>
    <row r="405" spans="2:14" x14ac:dyDescent="0.3">
      <c r="B405" s="10">
        <v>32</v>
      </c>
      <c r="C405" s="17">
        <f t="array" ref="C405">AVERAGE((((Summary!$B$4:$B$33)-(Summary!C$4:C$33))/(Summary!$B$4:$B$33))*100)</f>
        <v>6.6604846154250303</v>
      </c>
      <c r="D405" s="24">
        <f>AVERAGE(Summary!D$4:D$33)</f>
        <v>0.25754820505777992</v>
      </c>
      <c r="E405" s="17">
        <f t="array" ref="E405">AVERAGE((((Summary!$B$4:$B$33)-(Summary!E$4:E$33))/(Summary!$B$4:$B$33))*100)</f>
        <v>7.342977464625922</v>
      </c>
      <c r="F405" s="24">
        <f>AVERAGE(Summary!F$4:F$33)</f>
        <v>0.25146907170613608</v>
      </c>
      <c r="G405" s="17">
        <f t="array" ref="G405">AVERAGE((((Summary!$B$4:$B$33)-(Summary!G$4:G$33))/(Summary!$B$4:$B$33))*100)</f>
        <v>8.3270214420909561</v>
      </c>
      <c r="H405" s="24">
        <f>AVERAGE(Summary!H$4:H$33)</f>
        <v>0.30400957266489664</v>
      </c>
    </row>
    <row r="406" spans="2:14" x14ac:dyDescent="0.3">
      <c r="B406" s="9">
        <v>33</v>
      </c>
      <c r="C406" s="16">
        <f t="array" ref="C406">AVERAGE((((Summary!$B$34:$B$73)-(Summary!C$34:C$73))/(Summary!$B$34:$B$73))*100)</f>
        <v>5.838437109038499</v>
      </c>
      <c r="D406" s="26">
        <f>AVERAGE(Summary!D$34:D$73)</f>
        <v>0.27735062241554259</v>
      </c>
      <c r="E406" s="16">
        <f t="array" ref="E406">AVERAGE((((Summary!$B$34:$B$73)-(Summary!E$34:E$73))/(Summary!$B$34:$B$73))*100)</f>
        <v>7.6608744893245078</v>
      </c>
      <c r="F406" s="26">
        <f>AVERAGE(Summary!F$34:F$73)</f>
        <v>0.27351381182670592</v>
      </c>
      <c r="G406" s="16">
        <f t="array" ref="G406">AVERAGE((((Summary!$B$34:$B$73)-(Summary!G$34:G$73))/(Summary!$B$34:$B$73))*100)</f>
        <v>7.7148014781834915</v>
      </c>
      <c r="H406" s="26">
        <f>AVERAGE(Summary!H$34:H$73)</f>
        <v>0.28504748940467833</v>
      </c>
    </row>
    <row r="407" spans="2:14" x14ac:dyDescent="0.3">
      <c r="B407" s="9">
        <v>64</v>
      </c>
      <c r="C407" s="16">
        <f t="array" ref="C407">AVERAGE((((Summary!$B$74:$B$131)-(Summary!C$74:C$131))/(Summary!$B$74:$B$131))*100)</f>
        <v>7.0737561735862284</v>
      </c>
      <c r="D407" s="26">
        <f>AVERAGE(Summary!D$74:D$131)</f>
        <v>0.7001749729288036</v>
      </c>
      <c r="E407" s="16">
        <f t="array" ref="E407">AVERAGE((((Summary!$B$74:$B$131)-(Summary!E$74:E$131))/(Summary!$B$74:$B$131))*100)</f>
        <v>5.340982624415199</v>
      </c>
      <c r="F407" s="26">
        <f>AVERAGE(Summary!F$74:F$131)</f>
        <v>0.53043090886083144</v>
      </c>
      <c r="G407" s="16">
        <f t="array" ref="G407">AVERAGE((((Summary!$B$74:$B$131)-(Summary!G$74:G$131))/(Summary!$B$74:$B$131))*100)</f>
        <v>6.6969125627793673</v>
      </c>
      <c r="H407" s="26">
        <f>AVERAGE(Summary!H$74:H$131)</f>
        <v>0.48549162108322669</v>
      </c>
    </row>
    <row r="408" spans="2:14" x14ac:dyDescent="0.3">
      <c r="B408" s="9">
        <v>66</v>
      </c>
      <c r="C408" s="16">
        <f t="array" ref="C408">AVERAGE((((Summary!$B$132:$B$184)-(Summary!C$132:C$184))/(Summary!$B$132:$B$184))*100)</f>
        <v>3.5060989739220898</v>
      </c>
      <c r="D408" s="26">
        <f>AVERAGE(Summary!D$132:D$184)</f>
        <v>0.67790786725170205</v>
      </c>
      <c r="E408" s="16">
        <f t="array" ref="E408">AVERAGE((((Summary!$B$132:$B$184)-(Summary!E$132:E$184))/(Summary!$B$132:$B$184))*100)</f>
        <v>2.9514551108377782</v>
      </c>
      <c r="F408" s="26">
        <f>AVERAGE(Summary!F$132:F$184)</f>
        <v>0.56776735467730832</v>
      </c>
      <c r="G408" s="16">
        <f t="array" ref="G408">AVERAGE((((Summary!$B$132:$B$184)-(Summary!G$132:G$184))/(Summary!$B$132:$B$184))*100)</f>
        <v>3.083632180463121</v>
      </c>
      <c r="H408" s="26">
        <f>AVERAGE(Summary!H$132:H$184)</f>
        <v>0.55358562379513143</v>
      </c>
    </row>
    <row r="409" spans="2:14" x14ac:dyDescent="0.3">
      <c r="B409" s="9">
        <v>100</v>
      </c>
      <c r="C409" s="16">
        <f t="array" ref="C409">AVERAGE((((Summary!$B$185:$B$388)-(Summary!C$185:C$388))/(Summary!$B$185:$B$388))*100)</f>
        <v>22.162201030261105</v>
      </c>
      <c r="D409" s="26">
        <f>AVERAGE(Summary!D$185:D$388)</f>
        <v>1.35455509260589</v>
      </c>
      <c r="E409" s="16">
        <f t="array" ref="E409">AVERAGE((((Summary!$B$185:$B$388)-(Summary!E$185:E$388))/(Summary!$B$185:$B$388))*100)</f>
        <v>18.472805334605223</v>
      </c>
      <c r="F409" s="26">
        <f>AVERAGE(Summary!F$185:F$388)</f>
        <v>1.3130258894434161</v>
      </c>
      <c r="G409" s="16">
        <f t="array" ref="G409">AVERAGE((((Summary!$B$185:$B$388)-(Summary!G$185:G$388))/(Summary!$B$185:$B$388))*100)</f>
        <v>15.683425222494344</v>
      </c>
      <c r="H409" s="26">
        <f>AVERAGE(Summary!H$185:H$388)</f>
        <v>0.97682626340903489</v>
      </c>
    </row>
    <row r="410" spans="2:14" ht="15" thickBot="1" x14ac:dyDescent="0.35">
      <c r="B410" s="11">
        <v>102</v>
      </c>
      <c r="C410" s="18">
        <f t="array" ref="C410">AVERAGE((((Summary!$B$389:$B$398)-(Summary!C$389:C$398))/(Summary!$B$389:$B$398))*100)</f>
        <v>22.292703999272447</v>
      </c>
      <c r="D410" s="29">
        <f>AVERAGE(Summary!D$389:D$398)</f>
        <v>0.46709966659545898</v>
      </c>
      <c r="E410" s="18">
        <f t="array" ref="E410">AVERAGE((((Summary!$B$389:$B$398)-(Summary!E$389:E$398))/(Summary!$B$389:$B$398))*100)</f>
        <v>14.286428847509265</v>
      </c>
      <c r="F410" s="29">
        <f>AVERAGE(Summary!F$389:F$398)</f>
        <v>0.42484867572784424</v>
      </c>
      <c r="G410" s="18">
        <f t="array" ref="G410">AVERAGE((((Summary!$B$389:$B$398)-(Summary!G$389:G$398))/(Summary!$B$389:$B$398))*100)</f>
        <v>9.8283427687970359</v>
      </c>
      <c r="H410" s="29">
        <f>AVERAGE(Summary!H$389:H$398)</f>
        <v>0.2578413963317871</v>
      </c>
    </row>
    <row r="411" spans="2:14" ht="15" thickBot="1" x14ac:dyDescent="0.35">
      <c r="C411" s="36">
        <f t="shared" ref="C411" si="7">AVERAGE(C405:C410)</f>
        <v>11.255613650250901</v>
      </c>
      <c r="D411" s="21">
        <f t="shared" ref="D411" si="8">AVERAGE(D405:D410)</f>
        <v>0.62243940447586288</v>
      </c>
      <c r="E411" s="36">
        <f t="shared" ref="E411:H411" si="9">AVERAGE(E405:E410)</f>
        <v>9.3425873118863159</v>
      </c>
      <c r="F411" s="21">
        <f t="shared" si="9"/>
        <v>0.56017595204037374</v>
      </c>
      <c r="G411" s="36">
        <f t="shared" si="9"/>
        <v>8.5556892758013863</v>
      </c>
      <c r="H411" s="22">
        <f t="shared" si="9"/>
        <v>0.4771336611147925</v>
      </c>
    </row>
    <row r="413" spans="2:14" ht="15" thickBot="1" x14ac:dyDescent="0.35"/>
    <row r="414" spans="2:14" ht="15" thickBot="1" x14ac:dyDescent="0.35">
      <c r="B414" s="58" t="s">
        <v>415</v>
      </c>
      <c r="C414" s="61" t="s">
        <v>412</v>
      </c>
      <c r="D414" s="63"/>
      <c r="E414" s="63"/>
      <c r="F414" s="62"/>
      <c r="G414" s="61" t="s">
        <v>413</v>
      </c>
      <c r="H414" s="63"/>
      <c r="I414" s="63"/>
      <c r="J414" s="62"/>
      <c r="K414" s="61" t="s">
        <v>414</v>
      </c>
      <c r="L414" s="63"/>
      <c r="M414" s="63"/>
      <c r="N414" s="62"/>
    </row>
    <row r="415" spans="2:14" ht="15" thickBot="1" x14ac:dyDescent="0.35">
      <c r="B415" s="60"/>
      <c r="C415" s="61" t="s">
        <v>407</v>
      </c>
      <c r="D415" s="62"/>
      <c r="E415" s="61" t="s">
        <v>408</v>
      </c>
      <c r="F415" s="62"/>
      <c r="G415" s="61" t="s">
        <v>407</v>
      </c>
      <c r="H415" s="62"/>
      <c r="I415" s="61" t="s">
        <v>408</v>
      </c>
      <c r="J415" s="62"/>
      <c r="K415" s="61" t="s">
        <v>407</v>
      </c>
      <c r="L415" s="62"/>
      <c r="M415" s="61" t="s">
        <v>408</v>
      </c>
      <c r="N415" s="62"/>
    </row>
    <row r="416" spans="2:14" ht="15" thickBot="1" x14ac:dyDescent="0.35">
      <c r="B416" s="59"/>
      <c r="C416" s="7" t="s">
        <v>416</v>
      </c>
      <c r="D416" s="38" t="s">
        <v>417</v>
      </c>
      <c r="E416" s="37" t="s">
        <v>416</v>
      </c>
      <c r="F416" s="39" t="s">
        <v>417</v>
      </c>
      <c r="G416" s="7" t="s">
        <v>416</v>
      </c>
      <c r="H416" s="38" t="s">
        <v>417</v>
      </c>
      <c r="I416" s="37" t="s">
        <v>416</v>
      </c>
      <c r="J416" s="39" t="s">
        <v>417</v>
      </c>
      <c r="K416" s="7" t="s">
        <v>416</v>
      </c>
      <c r="L416" s="38" t="s">
        <v>417</v>
      </c>
      <c r="M416" s="37" t="s">
        <v>416</v>
      </c>
      <c r="N416" s="39" t="s">
        <v>417</v>
      </c>
    </row>
    <row r="417" spans="2:14" x14ac:dyDescent="0.3">
      <c r="B417" s="10">
        <v>32</v>
      </c>
      <c r="C417" s="19">
        <f t="array" ref="C417">MAX((((Summary!$B$4:$B$33)-(Summary!C$4:C$33))/(Summary!$B$4:$B$33))*100)</f>
        <v>11.320754716981133</v>
      </c>
      <c r="D417" s="19">
        <f t="array" ref="D417">MIN((((Summary!$B$4:$B$33)-(Summary!C$4:C$33))/(Summary!$B$4:$B$33))*100)</f>
        <v>0</v>
      </c>
      <c r="E417" s="17">
        <f>MAX(Summary!D$4:D$33)</f>
        <v>0.63510870933532715</v>
      </c>
      <c r="F417" s="24">
        <f>MIN(Summary!D$4:D$33)</f>
        <v>0.1906430721282959</v>
      </c>
      <c r="G417" s="19">
        <f t="array" ref="G417">MAX((((Summary!$B$4:$B$33)-(Summary!E$4:E$33))/(Summary!$B$4:$B$33))*100)</f>
        <v>10.714285714285714</v>
      </c>
      <c r="H417" s="19">
        <f t="array" ref="H417">MIN((((Summary!$B$4:$B$33)-(Summary!E$4:E$33))/(Summary!$B$4:$B$33))*100)</f>
        <v>3.8461538461538463</v>
      </c>
      <c r="I417" s="17">
        <f>MAX(Summary!F$4:F$33)</f>
        <v>0.67097711563110352</v>
      </c>
      <c r="J417" s="40">
        <f>MIN(Summary!F$4:F$33)</f>
        <v>0.18700504302978521</v>
      </c>
      <c r="K417" s="19">
        <f t="array" ref="K417">MAX((((Summary!$B$4:$B$33)-(Summary!G$4:G$33))/(Summary!$B$4:$B$33))*100)</f>
        <v>14.035087719298245</v>
      </c>
      <c r="L417" s="19">
        <f t="array" ref="L417">MIN((((Summary!$B$4:$B$33)-(Summary!G$4:G$33))/(Summary!$B$4:$B$33))*100)</f>
        <v>3.8461538461538463</v>
      </c>
      <c r="M417" s="17">
        <f>MAX(Summary!H$4:H$33)</f>
        <v>0.79101347923278809</v>
      </c>
      <c r="N417" s="24">
        <f>MIN(Summary!H$4:H$33)</f>
        <v>0.22870779037475589</v>
      </c>
    </row>
    <row r="418" spans="2:14" x14ac:dyDescent="0.3">
      <c r="B418" s="9">
        <v>33</v>
      </c>
      <c r="C418" s="16">
        <f t="array" ref="C418">MAX((((Summary!$B$34:$B$73)-(Summary!C$34:C$73))/(Summary!$B$34:$B$73))*100)</f>
        <v>14.754098360655737</v>
      </c>
      <c r="D418" s="26">
        <f t="array" ref="D418">MIN((((Summary!$B$34:$B$73)-(Summary!C$34:C$73))/(Summary!$B$34:$B$73))*100)</f>
        <v>1.25</v>
      </c>
      <c r="E418" s="16">
        <f>MAX(Summary!D$34:D$73)</f>
        <v>0.44315218925476069</v>
      </c>
      <c r="F418" s="26">
        <f>MIN(Summary!D$34:D$73)</f>
        <v>0.21134853363037109</v>
      </c>
      <c r="G418" s="16">
        <f t="array" ref="G418">MAX((((Summary!$B$34:$B$73)-(Summary!E$34:E$73))/(Summary!$B$34:$B$73))*100)</f>
        <v>14.925373134328357</v>
      </c>
      <c r="H418" s="26">
        <f t="array" ref="H418">MIN((((Summary!$B$34:$B$73)-(Summary!E$34:E$73))/(Summary!$B$34:$B$73))*100)</f>
        <v>2.5</v>
      </c>
      <c r="I418" s="16">
        <f>MAX(Summary!F$34:F$73)</f>
        <v>0.46831893920898438</v>
      </c>
      <c r="J418" s="26">
        <f>MIN(Summary!F$34:F$73)</f>
        <v>0.18632698059082031</v>
      </c>
      <c r="K418" s="16">
        <f t="array" ref="K418">MAX((((Summary!$B$34:$B$73)-(Summary!G$34:G$73))/(Summary!$B$34:$B$73))*100)</f>
        <v>16.393442622950818</v>
      </c>
      <c r="L418" s="26">
        <f t="array" ref="L418">MIN((((Summary!$B$34:$B$73)-(Summary!G$34:G$73))/(Summary!$B$34:$B$73))*100)</f>
        <v>3.75</v>
      </c>
      <c r="M418" s="16">
        <f>MAX(Summary!H$34:H$73)</f>
        <v>0.47196125984191889</v>
      </c>
      <c r="N418" s="26">
        <f>MIN(Summary!H$34:H$73)</f>
        <v>0.2034561634063721</v>
      </c>
    </row>
    <row r="419" spans="2:14" x14ac:dyDescent="0.3">
      <c r="B419" s="9">
        <v>64</v>
      </c>
      <c r="C419" s="16">
        <f t="array" ref="C419">MAX((((Summary!$B$74:$B$131)-(Summary!C$74:C$131))/(Summary!$B$74:$B$131))*100)</f>
        <v>21.323529411764707</v>
      </c>
      <c r="D419" s="26">
        <f t="array" ref="D419">MIN((((Summary!$B$74:$B$131)-(Summary!C$74:C$131))/(Summary!$B$74:$B$131))*100)</f>
        <v>2.4271844660194173</v>
      </c>
      <c r="E419" s="16">
        <f>MAX(Summary!D$74:D$131)</f>
        <v>1.2473902702331541</v>
      </c>
      <c r="F419" s="26">
        <f>MIN(Summary!D$74:D$131)</f>
        <v>0.33735418319702148</v>
      </c>
      <c r="G419" s="16">
        <f t="array" ref="G419">MAX((((Summary!$B$74:$B$131)-(Summary!E$74:E$131))/(Summary!$B$74:$B$131))*100)</f>
        <v>10.294117647058822</v>
      </c>
      <c r="H419" s="26">
        <f t="array" ref="H419">MIN((((Summary!$B$74:$B$131)-(Summary!E$74:E$131))/(Summary!$B$74:$B$131))*100)</f>
        <v>1.6129032258064515</v>
      </c>
      <c r="I419" s="16">
        <f>MAX(Summary!F$74:F$131)</f>
        <v>0.97081542015075684</v>
      </c>
      <c r="J419" s="26">
        <f>MIN(Summary!F$74:F$131)</f>
        <v>0.31449294090271002</v>
      </c>
      <c r="K419" s="16">
        <f t="array" ref="K419">MAX((((Summary!$B$74:$B$131)-(Summary!G$74:G$131))/(Summary!$B$74:$B$131))*100)</f>
        <v>22.794117647058822</v>
      </c>
      <c r="L419" s="26">
        <f t="array" ref="L419">MIN((((Summary!$B$74:$B$131)-(Summary!G$74:G$131))/(Summary!$B$74:$B$131))*100)</f>
        <v>1.6949152542372881</v>
      </c>
      <c r="M419" s="16">
        <f>MAX(Summary!H$74:H$131)</f>
        <v>0.80708169937133789</v>
      </c>
      <c r="N419" s="26">
        <f>MIN(Summary!H$74:H$131)</f>
        <v>0.27725863456726069</v>
      </c>
    </row>
    <row r="420" spans="2:14" x14ac:dyDescent="0.3">
      <c r="B420" s="9">
        <v>66</v>
      </c>
      <c r="C420" s="16">
        <f t="array" ref="C420">MAX((((Summary!$B$132:$B$184)-(Summary!C$132:C$184))/(Summary!$B$132:$B$184))*100)</f>
        <v>10.273972602739725</v>
      </c>
      <c r="D420" s="26">
        <f t="array" ref="D420">MIN((((Summary!$B$132:$B$184)-(Summary!C$132:C$184))/(Summary!$B$132:$B$184))*100)</f>
        <v>0.59523809523809523</v>
      </c>
      <c r="E420" s="16">
        <f>MAX(Summary!D$132:D$184)</f>
        <v>0.99670767784118652</v>
      </c>
      <c r="F420" s="26">
        <f>MIN(Summary!D$132:D$184)</f>
        <v>0.34901142120361328</v>
      </c>
      <c r="G420" s="16">
        <f t="array" ref="G420">MAX((((Summary!$B$132:$B$184)-(Summary!E$132:E$184))/(Summary!$B$132:$B$184))*100)</f>
        <v>7.5342465753424657</v>
      </c>
      <c r="H420" s="26">
        <f t="array" ref="H420">MIN((((Summary!$B$132:$B$184)-(Summary!E$132:E$184))/(Summary!$B$132:$B$184))*100)</f>
        <v>0</v>
      </c>
      <c r="I420" s="16">
        <f>MAX(Summary!F$132:F$184)</f>
        <v>1.212461471557617</v>
      </c>
      <c r="J420" s="26">
        <f>MIN(Summary!F$132:F$184)</f>
        <v>0.23550081253051761</v>
      </c>
      <c r="K420" s="16">
        <f t="array" ref="K420">MAX((((Summary!$B$132:$B$184)-(Summary!G$132:G$184))/(Summary!$B$132:$B$184))*100)</f>
        <v>8.9041095890410951</v>
      </c>
      <c r="L420" s="26">
        <f t="array" ref="L420">MIN((((Summary!$B$132:$B$184)-(Summary!G$132:G$184))/(Summary!$B$132:$B$184))*100)</f>
        <v>0</v>
      </c>
      <c r="M420" s="16">
        <f>MAX(Summary!H$132:H$184)</f>
        <v>1.621932744979858</v>
      </c>
      <c r="N420" s="26">
        <f>MIN(Summary!H$132:H$184)</f>
        <v>0.25513267517089838</v>
      </c>
    </row>
    <row r="421" spans="2:14" x14ac:dyDescent="0.3">
      <c r="B421" s="9">
        <v>100</v>
      </c>
      <c r="C421" s="16">
        <f t="array" ref="C421">MAX((((Summary!$B$185:$B$388)-(Summary!C$185:C$388))/(Summary!$B$185:$B$388))*100)</f>
        <v>66.757493188010898</v>
      </c>
      <c r="D421" s="26">
        <f t="array" ref="D421">MIN((((Summary!$B$185:$B$388)-(Summary!C$185:C$388))/(Summary!$B$185:$B$388))*100)</f>
        <v>4.4410413476263404</v>
      </c>
      <c r="E421" s="16">
        <f>MAX(Summary!D$185:D$388)</f>
        <v>3.171359777450562</v>
      </c>
      <c r="F421" s="26">
        <f>MIN(Summary!D$185:D$388)</f>
        <v>0.36279916763305659</v>
      </c>
      <c r="G421" s="16">
        <f t="array" ref="G421">MAX((((Summary!$B$185:$B$388)-(Summary!E$185:E$388))/(Summary!$B$185:$B$388))*100)</f>
        <v>60.436893203883493</v>
      </c>
      <c r="H421" s="26">
        <f t="array" ref="H421">MIN((((Summary!$B$185:$B$388)-(Summary!E$185:E$388))/(Summary!$B$185:$B$388))*100)</f>
        <v>3.9050535987748853</v>
      </c>
      <c r="I421" s="16">
        <f>MAX(Summary!F$185:F$388)</f>
        <v>3.36139965057373</v>
      </c>
      <c r="J421" s="26">
        <f>MIN(Summary!F$185:F$388)</f>
        <v>0.22498536109924319</v>
      </c>
      <c r="K421" s="16">
        <f t="array" ref="K421">MAX((((Summary!$B$185:$B$388)-(Summary!G$185:G$388))/(Summary!$B$185:$B$388))*100)</f>
        <v>34.059945504087189</v>
      </c>
      <c r="L421" s="26">
        <f t="array" ref="L421">MIN((((Summary!$B$185:$B$388)-(Summary!G$185:G$388))/(Summary!$B$185:$B$388))*100)</f>
        <v>5.2067381316998471</v>
      </c>
      <c r="M421" s="16">
        <f>MAX(Summary!H$185:H$388)</f>
        <v>1.7988536357879641</v>
      </c>
      <c r="N421" s="26">
        <f>MIN(Summary!H$185:H$388)</f>
        <v>0.22163891792297361</v>
      </c>
    </row>
    <row r="422" spans="2:14" ht="15" thickBot="1" x14ac:dyDescent="0.35">
      <c r="B422" s="11">
        <v>102</v>
      </c>
      <c r="C422" s="18">
        <f t="array" ref="C422">MAX((((Summary!$B$389:$B$398)-(Summary!C$389:C$398))/(Summary!$B$389:$B$398))*100)</f>
        <v>41.563786008230451</v>
      </c>
      <c r="D422" s="29">
        <f t="array" ref="D422">MIN((((Summary!$B$389:$B$398)-(Summary!C$389:C$398))/(Summary!$B$389:$B$398))*100)</f>
        <v>0</v>
      </c>
      <c r="E422" s="18">
        <f>MAX(Summary!D$389:D$398)</f>
        <v>0.55317783355712891</v>
      </c>
      <c r="F422" s="29">
        <f>MIN(Summary!D$389:D$398)</f>
        <v>0.34199213981628418</v>
      </c>
      <c r="G422" s="18">
        <f t="array" ref="G422">MAX((((Summary!$B$389:$B$398)-(Summary!E$389:E$398))/(Summary!$B$389:$B$398))*100)</f>
        <v>21.546961325966851</v>
      </c>
      <c r="H422" s="29">
        <f t="array" ref="H422">MIN((((Summary!$B$389:$B$398)-(Summary!E$389:E$398))/(Summary!$B$389:$B$398))*100)</f>
        <v>0</v>
      </c>
      <c r="I422" s="18">
        <f>MAX(Summary!F$389:F$398)</f>
        <v>0.6485435962677002</v>
      </c>
      <c r="J422" s="29">
        <f>MIN(Summary!F$389:F$398)</f>
        <v>0.3115532398223877</v>
      </c>
      <c r="K422" s="18">
        <f t="array" ref="K422">MAX((((Summary!$B$389:$B$398)-(Summary!G$389:G$398))/(Summary!$B$389:$B$398))*100)</f>
        <v>21.546961325966851</v>
      </c>
      <c r="L422" s="29">
        <f t="array" ref="L422">MIN((((Summary!$B$389:$B$398)-(Summary!G$389:G$398))/(Summary!$B$389:$B$398))*100)</f>
        <v>0</v>
      </c>
      <c r="M422" s="18">
        <f>MAX(Summary!H$389:H$398)</f>
        <v>0.2982022762298584</v>
      </c>
      <c r="N422" s="29">
        <f>MIN(Summary!H$389:H$398)</f>
        <v>0.21941256523132319</v>
      </c>
    </row>
  </sheetData>
  <mergeCells count="26">
    <mergeCell ref="K414:N414"/>
    <mergeCell ref="G414:J414"/>
    <mergeCell ref="C414:F414"/>
    <mergeCell ref="C415:D415"/>
    <mergeCell ref="E415:F415"/>
    <mergeCell ref="G415:H415"/>
    <mergeCell ref="I415:J415"/>
    <mergeCell ref="K415:L415"/>
    <mergeCell ref="M415:N415"/>
    <mergeCell ref="B403:B404"/>
    <mergeCell ref="B414:B416"/>
    <mergeCell ref="C403:D403"/>
    <mergeCell ref="E403:F403"/>
    <mergeCell ref="G403:H403"/>
    <mergeCell ref="A1:B1"/>
    <mergeCell ref="C1:I1"/>
    <mergeCell ref="K1:P1"/>
    <mergeCell ref="A2:A3"/>
    <mergeCell ref="B2:B3"/>
    <mergeCell ref="C2:D2"/>
    <mergeCell ref="E2:F2"/>
    <mergeCell ref="G2:H2"/>
    <mergeCell ref="I2:I3"/>
    <mergeCell ref="K2:L2"/>
    <mergeCell ref="M2:N2"/>
    <mergeCell ref="O2:P2"/>
  </mergeCells>
  <conditionalFormatting sqref="C4:C398 K4:K398">
    <cfRule type="expression" dxfId="2" priority="15">
      <formula>MAX(C4,E4,G4)=C4</formula>
    </cfRule>
  </conditionalFormatting>
  <conditionalFormatting sqref="E4:E398 M4:M398">
    <cfRule type="expression" dxfId="1" priority="8">
      <formula>MAX(C4,E4,G4)=E4</formula>
    </cfRule>
  </conditionalFormatting>
  <conditionalFormatting sqref="G4:G398 O4:O398">
    <cfRule type="expression" dxfId="0" priority="12">
      <formula>MAX(E4,G4,C4)=G4</formula>
    </cfRule>
  </conditionalFormatting>
  <conditionalFormatting sqref="I2">
    <cfRule type="colorScale" priority="14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I4:I398">
    <cfRule type="colorScale" priority="98">
      <colorScale>
        <cfvo type="min"/>
        <cfvo type="percentile" val="50"/>
        <cfvo type="max"/>
        <color rgb="FF63BE7B"/>
        <color rgb="FFFCFCFF"/>
        <color rgb="FFF8696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 PC</dc:creator>
  <cp:lastModifiedBy>Amirali Ebrahimi</cp:lastModifiedBy>
  <dcterms:created xsi:type="dcterms:W3CDTF">2015-06-05T18:17:20Z</dcterms:created>
  <dcterms:modified xsi:type="dcterms:W3CDTF">2025-12-01T22:25:51Z</dcterms:modified>
</cp:coreProperties>
</file>